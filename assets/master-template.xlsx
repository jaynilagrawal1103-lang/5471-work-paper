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RE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ttps://unisonglobus-my.sharepoint.com/personal/pragya_dugar_unisonglobus_com/Documents/Form 5471-Automation/"/>
    </mc:Choice>
  </mc:AlternateContent>
  <xr:revisionPtr revIDLastSave="89" documentId="13_ncr:1_{9CDB8E05-E710-41EB-997A-8B398D2ADE7F}" xr6:coauthVersionLast="47" xr6:coauthVersionMax="47" xr10:uidLastSave="{0185DFCB-8678-4797-B9D8-D47375268AD7}"/>
  <bookViews>
    <workbookView xWindow="-110" yWindow="-110" windowWidth="19420" windowHeight="10420" tabRatio="880" activeTab="1" xr2:uid="{00000000-000D-0000-FFFF-FFFF00000000}"/>
  </bookViews>
  <sheets>
    <sheet name="Basic Information" sheetId="4" r:id="rId1"/>
    <sheet name="Shareholding Details" sheetId="44" r:id="rId2"/>
    <sheet name="Income Statement" sheetId="5" r:id="rId3"/>
    <sheet name="D-110 Flow-through K-1s" sheetId="41" state="hidden" r:id="rId4"/>
    <sheet name="Balance Sheet" sheetId="7" r:id="rId5"/>
    <sheet name="Retained Earnings" sheetId="60" r:id="rIdRE"/>
    <sheet name="Dividends" sheetId="35" r:id="rId6"/>
    <sheet name="Schedule E &amp; E-1" sheetId="43" r:id="rId7"/>
    <sheet name="Sch - H" sheetId="10" r:id="rId8"/>
    <sheet name="Schedule I &amp; I-1" sheetId="42" r:id="rId9"/>
    <sheet name="Schedule J" sheetId="11" r:id="rId10"/>
    <sheet name="Schedule M" sheetId="47" r:id="rId11"/>
    <sheet name="Schedule P" sheetId="45" r:id="rId12"/>
    <sheet name="Schedule Q" sheetId="56" r:id="rId13"/>
    <sheet name="Schedule R" sheetId="55" r:id="rId14"/>
    <sheet name="Worksheet A" sheetId="46" r:id="rId15"/>
    <sheet name="Worksheet B" sheetId="49" r:id="rId16"/>
    <sheet name="8992 Information" sheetId="50" r:id="rId17"/>
    <sheet name="Depr &amp; Amort Summary" sheetId="52" r:id="rId18"/>
    <sheet name="Entity Structure and changes" sheetId="57" r:id="rId19"/>
  </sheets>
  <definedNames>
    <definedName name="_xlnm._FilterDatabase" localSheetId="5" hidden="1">Dividends!$J$6:$K$6</definedName>
    <definedName name="b_3_A" localSheetId="14">'Worksheet A'!$C$4</definedName>
    <definedName name="b_3_A" localSheetId="15">'Worksheet B'!$C$4</definedName>
    <definedName name="b_3_A_i" localSheetId="14">'Worksheet A'!$C$7</definedName>
    <definedName name="b_3_A_i" localSheetId="15">'Worksheet B'!$C$7</definedName>
    <definedName name="b_3_A_ii" localSheetId="14">'Worksheet A'!$C$8</definedName>
    <definedName name="b_3_A_ii" localSheetId="15">'Worksheet B'!$C$8</definedName>
    <definedName name="_xlnm.Print_Area" localSheetId="4">'Balance Sheet'!$A$1:$I$37</definedName>
    <definedName name="_xlnm.Print_Area" localSheetId="0">'Basic Information'!$A$1:$K$35</definedName>
    <definedName name="_xlnm.Print_Area" localSheetId="17">'Depr &amp; Amort Summary'!$A$1:$K$20</definedName>
    <definedName name="_xlnm.Print_Area" localSheetId="7">'Sch - H'!$A$1:$I$32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7" i="57" l="1"/>
  <c r="I28" i="57"/>
  <c r="I29" i="57"/>
  <c r="I30" i="57"/>
  <c r="I31" i="57"/>
  <c r="I32" i="57"/>
  <c r="I33" i="57"/>
  <c r="I34" i="57"/>
  <c r="I35" i="57"/>
  <c r="I36" i="57"/>
  <c r="I37" i="57"/>
  <c r="I38" i="57"/>
  <c r="I39" i="57"/>
  <c r="I40" i="57"/>
  <c r="I41" i="57"/>
  <c r="I42" i="57"/>
  <c r="I43" i="57"/>
  <c r="I44" i="57"/>
  <c r="I45" i="57"/>
  <c r="I26" i="57"/>
  <c r="C44" i="57"/>
  <c r="C38" i="57"/>
  <c r="C37" i="57"/>
  <c r="C41" i="57" l="1"/>
  <c r="C36" i="57"/>
  <c r="C35" i="57"/>
  <c r="N8" i="44" l="1"/>
  <c r="J49" i="5"/>
  <c r="J48" i="5"/>
  <c r="J47" i="5"/>
  <c r="J46" i="5"/>
  <c r="J45" i="5"/>
  <c r="J42" i="5"/>
  <c r="J40" i="5"/>
  <c r="J39" i="5"/>
  <c r="J38" i="5"/>
  <c r="J37" i="5"/>
  <c r="J41" i="5"/>
  <c r="J43" i="5"/>
  <c r="J44" i="5"/>
  <c r="I32" i="45" l="1"/>
  <c r="G31" i="10"/>
  <c r="D9" i="50"/>
  <c r="A53" i="52"/>
  <c r="A55" i="52"/>
  <c r="A76" i="52" s="1"/>
  <c r="F61" i="52"/>
  <c r="F62" i="52"/>
  <c r="F63" i="52"/>
  <c r="F64" i="52"/>
  <c r="F65" i="52"/>
  <c r="F66" i="52"/>
  <c r="F67" i="52"/>
  <c r="F68" i="52"/>
  <c r="F69" i="52"/>
  <c r="D71" i="52"/>
  <c r="A23" i="52"/>
  <c r="A25" i="52"/>
  <c r="D45" i="52" s="1"/>
  <c r="F31" i="52"/>
  <c r="F32" i="52"/>
  <c r="F33" i="52"/>
  <c r="F34" i="52"/>
  <c r="F35" i="52"/>
  <c r="F36" i="52"/>
  <c r="F37" i="52"/>
  <c r="F38" i="52"/>
  <c r="F39" i="52"/>
  <c r="D41" i="52"/>
  <c r="H6" i="7"/>
  <c r="G6" i="7"/>
  <c r="L5" i="5"/>
  <c r="B59" i="4"/>
  <c r="B60" i="4"/>
  <c r="B61" i="4"/>
  <c r="R57" i="44"/>
  <c r="P57" i="44"/>
  <c r="R45" i="44"/>
  <c r="P45" i="44"/>
  <c r="A75" i="52" l="1"/>
  <c r="L44" i="5"/>
  <c r="L43" i="5"/>
  <c r="L40" i="5"/>
  <c r="L42" i="5"/>
  <c r="L46" i="5"/>
  <c r="L48" i="5"/>
  <c r="L49" i="5"/>
  <c r="L47" i="5"/>
  <c r="L45" i="5"/>
  <c r="L41" i="5"/>
  <c r="L38" i="5"/>
  <c r="L37" i="5"/>
  <c r="L39" i="5"/>
  <c r="Q60" i="52"/>
  <c r="Q66" i="52" s="1"/>
  <c r="A45" i="52"/>
  <c r="F71" i="52"/>
  <c r="D75" i="52"/>
  <c r="F41" i="52"/>
  <c r="A46" i="52"/>
  <c r="Q30" i="52"/>
  <c r="A6" i="4"/>
  <c r="Q65" i="52" l="1"/>
  <c r="P60" i="52"/>
  <c r="O60" i="52" s="1"/>
  <c r="N60" i="52" s="1"/>
  <c r="M60" i="52" s="1"/>
  <c r="L60" i="52" s="1"/>
  <c r="K60" i="52" s="1"/>
  <c r="J60" i="52" s="1"/>
  <c r="I60" i="52" s="1"/>
  <c r="H60" i="52" s="1"/>
  <c r="G60" i="52" s="1"/>
  <c r="R60" i="52"/>
  <c r="S60" i="52" s="1"/>
  <c r="T60" i="52" s="1"/>
  <c r="U60" i="52" s="1"/>
  <c r="V60" i="52" s="1"/>
  <c r="W60" i="52" s="1"/>
  <c r="X60" i="52" s="1"/>
  <c r="Y60" i="52" s="1"/>
  <c r="Z60" i="52" s="1"/>
  <c r="AA60" i="52" s="1"/>
  <c r="Q63" i="52"/>
  <c r="Q64" i="52"/>
  <c r="Q69" i="52"/>
  <c r="Q61" i="52"/>
  <c r="Q62" i="52"/>
  <c r="Q67" i="52"/>
  <c r="Q68" i="52"/>
  <c r="Q31" i="52"/>
  <c r="Q33" i="52"/>
  <c r="Q35" i="52"/>
  <c r="Q37" i="52"/>
  <c r="Q39" i="52"/>
  <c r="P30" i="52"/>
  <c r="Q32" i="52"/>
  <c r="Q36" i="52"/>
  <c r="Q38" i="52"/>
  <c r="R30" i="52"/>
  <c r="Q34" i="52"/>
  <c r="S27" i="43"/>
  <c r="S31" i="43" s="1"/>
  <c r="S28" i="43"/>
  <c r="S29" i="43"/>
  <c r="S30" i="43"/>
  <c r="S38" i="43"/>
  <c r="Z63" i="56"/>
  <c r="Z62" i="56"/>
  <c r="Z61" i="56"/>
  <c r="Z60" i="56" s="1"/>
  <c r="Z59" i="56"/>
  <c r="Z56" i="56" s="1"/>
  <c r="Z58" i="56"/>
  <c r="Z57" i="56"/>
  <c r="Z51" i="56"/>
  <c r="Z50" i="56"/>
  <c r="Z49" i="56"/>
  <c r="Z48" i="56" s="1"/>
  <c r="Z47" i="56"/>
  <c r="Z46" i="56"/>
  <c r="Z45" i="56"/>
  <c r="Z44" i="56" s="1"/>
  <c r="Z43" i="56"/>
  <c r="Z42" i="56"/>
  <c r="Z41" i="56"/>
  <c r="Z40" i="56" s="1"/>
  <c r="Z39" i="56"/>
  <c r="Z38" i="56"/>
  <c r="Z37" i="56"/>
  <c r="Z36" i="56" s="1"/>
  <c r="Z35" i="56"/>
  <c r="Z34" i="56"/>
  <c r="Z33" i="56"/>
  <c r="Z32" i="56" s="1"/>
  <c r="Z31" i="56"/>
  <c r="Z28" i="56" s="1"/>
  <c r="Z30" i="56"/>
  <c r="Z29" i="56"/>
  <c r="Z27" i="56"/>
  <c r="Z26" i="56"/>
  <c r="Z25" i="56"/>
  <c r="Z24" i="56" s="1"/>
  <c r="Z23" i="56"/>
  <c r="Z22" i="56"/>
  <c r="Z21" i="56"/>
  <c r="Z20" i="56" s="1"/>
  <c r="Z19" i="56"/>
  <c r="Z18" i="56"/>
  <c r="Z17" i="56"/>
  <c r="H48" i="56"/>
  <c r="H60" i="56"/>
  <c r="AD60" i="56"/>
  <c r="AB60" i="56"/>
  <c r="X60" i="56"/>
  <c r="V60" i="56"/>
  <c r="T60" i="56"/>
  <c r="R60" i="56"/>
  <c r="P60" i="56"/>
  <c r="N60" i="56"/>
  <c r="L60" i="56"/>
  <c r="J60" i="56"/>
  <c r="AD56" i="56"/>
  <c r="AB56" i="56"/>
  <c r="X56" i="56"/>
  <c r="V56" i="56"/>
  <c r="T56" i="56"/>
  <c r="R56" i="56"/>
  <c r="P56" i="56"/>
  <c r="N56" i="56"/>
  <c r="L56" i="56"/>
  <c r="J56" i="56"/>
  <c r="H56" i="56"/>
  <c r="AD48" i="56"/>
  <c r="AB48" i="56"/>
  <c r="X48" i="56"/>
  <c r="V48" i="56"/>
  <c r="T48" i="56"/>
  <c r="R48" i="56"/>
  <c r="P48" i="56"/>
  <c r="N48" i="56"/>
  <c r="L48" i="56"/>
  <c r="J48" i="56"/>
  <c r="AD44" i="56"/>
  <c r="AB44" i="56"/>
  <c r="X44" i="56"/>
  <c r="V44" i="56"/>
  <c r="T44" i="56"/>
  <c r="R44" i="56"/>
  <c r="P44" i="56"/>
  <c r="N44" i="56"/>
  <c r="L44" i="56"/>
  <c r="J44" i="56"/>
  <c r="H44" i="56"/>
  <c r="AD40" i="56"/>
  <c r="AB40" i="56"/>
  <c r="X40" i="56"/>
  <c r="V40" i="56"/>
  <c r="T40" i="56"/>
  <c r="R40" i="56"/>
  <c r="P40" i="56"/>
  <c r="N40" i="56"/>
  <c r="L40" i="56"/>
  <c r="J40" i="56"/>
  <c r="H40" i="56"/>
  <c r="AD36" i="56"/>
  <c r="AB36" i="56"/>
  <c r="X36" i="56"/>
  <c r="V36" i="56"/>
  <c r="T36" i="56"/>
  <c r="R36" i="56"/>
  <c r="P36" i="56"/>
  <c r="N36" i="56"/>
  <c r="L36" i="56"/>
  <c r="J36" i="56"/>
  <c r="H36" i="56"/>
  <c r="AD32" i="56"/>
  <c r="AB32" i="56"/>
  <c r="X32" i="56"/>
  <c r="V32" i="56"/>
  <c r="T32" i="56"/>
  <c r="R32" i="56"/>
  <c r="P32" i="56"/>
  <c r="N32" i="56"/>
  <c r="L32" i="56"/>
  <c r="J32" i="56"/>
  <c r="H32" i="56"/>
  <c r="AD28" i="56"/>
  <c r="AB28" i="56"/>
  <c r="X28" i="56"/>
  <c r="V28" i="56"/>
  <c r="T28" i="56"/>
  <c r="R28" i="56"/>
  <c r="P28" i="56"/>
  <c r="N28" i="56"/>
  <c r="L28" i="56"/>
  <c r="J28" i="56"/>
  <c r="H28" i="56"/>
  <c r="AD24" i="56"/>
  <c r="AB24" i="56"/>
  <c r="X24" i="56"/>
  <c r="V24" i="56"/>
  <c r="T24" i="56"/>
  <c r="R24" i="56"/>
  <c r="P24" i="56"/>
  <c r="N24" i="56"/>
  <c r="L24" i="56"/>
  <c r="J24" i="56"/>
  <c r="H24" i="56"/>
  <c r="AD20" i="56"/>
  <c r="AB20" i="56"/>
  <c r="X20" i="56"/>
  <c r="V20" i="56"/>
  <c r="T20" i="56"/>
  <c r="R20" i="56"/>
  <c r="P20" i="56"/>
  <c r="N20" i="56"/>
  <c r="L20" i="56"/>
  <c r="J20" i="56"/>
  <c r="H20" i="56"/>
  <c r="AD16" i="56"/>
  <c r="AB16" i="56"/>
  <c r="X16" i="56"/>
  <c r="V16" i="56"/>
  <c r="T16" i="56"/>
  <c r="R16" i="56"/>
  <c r="P16" i="56"/>
  <c r="N16" i="56"/>
  <c r="L16" i="56"/>
  <c r="J16" i="56"/>
  <c r="H16" i="56"/>
  <c r="H64" i="56" s="1"/>
  <c r="B3" i="56"/>
  <c r="A3" i="55"/>
  <c r="E15" i="45"/>
  <c r="W25" i="45"/>
  <c r="W24" i="45"/>
  <c r="W23" i="45"/>
  <c r="W20" i="45"/>
  <c r="W19" i="45"/>
  <c r="W18" i="45"/>
  <c r="W15" i="45"/>
  <c r="U25" i="45"/>
  <c r="U24" i="45"/>
  <c r="U23" i="45"/>
  <c r="U20" i="45"/>
  <c r="U19" i="45"/>
  <c r="U18" i="45"/>
  <c r="U15" i="45"/>
  <c r="S25" i="45"/>
  <c r="S24" i="45"/>
  <c r="S23" i="45"/>
  <c r="S20" i="45"/>
  <c r="S19" i="45"/>
  <c r="S18" i="45"/>
  <c r="S15" i="45"/>
  <c r="Q25" i="45"/>
  <c r="Q24" i="45"/>
  <c r="Q23" i="45"/>
  <c r="Q20" i="45"/>
  <c r="Q19" i="45"/>
  <c r="Q18" i="45"/>
  <c r="Q15" i="45"/>
  <c r="O18" i="45"/>
  <c r="O19" i="45"/>
  <c r="O20" i="45"/>
  <c r="O23" i="45"/>
  <c r="O24" i="45"/>
  <c r="O25" i="45"/>
  <c r="O15" i="45"/>
  <c r="M25" i="45"/>
  <c r="M24" i="45"/>
  <c r="K25" i="45"/>
  <c r="K24" i="45"/>
  <c r="I25" i="45"/>
  <c r="I24" i="45"/>
  <c r="G25" i="45"/>
  <c r="G24" i="45"/>
  <c r="M20" i="45"/>
  <c r="M19" i="45"/>
  <c r="M18" i="45"/>
  <c r="M15" i="45"/>
  <c r="K20" i="45"/>
  <c r="K19" i="45"/>
  <c r="K18" i="45"/>
  <c r="K15" i="45"/>
  <c r="I20" i="45"/>
  <c r="I19" i="45"/>
  <c r="I18" i="45"/>
  <c r="I15" i="45"/>
  <c r="G15" i="45"/>
  <c r="G20" i="45"/>
  <c r="G19" i="45"/>
  <c r="G18" i="45"/>
  <c r="E25" i="45"/>
  <c r="E24" i="45"/>
  <c r="E18" i="45"/>
  <c r="E19" i="45"/>
  <c r="E20" i="45"/>
  <c r="AH15" i="11"/>
  <c r="D24" i="7"/>
  <c r="D38" i="7"/>
  <c r="H9" i="5"/>
  <c r="F9" i="5"/>
  <c r="A1" i="55"/>
  <c r="R65" i="52" l="1"/>
  <c r="V64" i="56"/>
  <c r="AD64" i="56"/>
  <c r="P63" i="52"/>
  <c r="P68" i="52"/>
  <c r="R62" i="52"/>
  <c r="R68" i="52"/>
  <c r="Q71" i="52"/>
  <c r="P61" i="52"/>
  <c r="P64" i="52"/>
  <c r="P69" i="52"/>
  <c r="P66" i="52"/>
  <c r="P62" i="52"/>
  <c r="R63" i="52"/>
  <c r="P65" i="52"/>
  <c r="P67" i="52"/>
  <c r="R67" i="52"/>
  <c r="R69" i="52"/>
  <c r="R61" i="52"/>
  <c r="R64" i="52"/>
  <c r="R66" i="52"/>
  <c r="S61" i="52"/>
  <c r="S63" i="52"/>
  <c r="S65" i="52"/>
  <c r="S67" i="52"/>
  <c r="S69" i="52"/>
  <c r="S62" i="52"/>
  <c r="S64" i="52"/>
  <c r="S66" i="52"/>
  <c r="S68" i="52"/>
  <c r="O61" i="52"/>
  <c r="O63" i="52"/>
  <c r="O65" i="52"/>
  <c r="O67" i="52"/>
  <c r="O69" i="52"/>
  <c r="O62" i="52"/>
  <c r="O64" i="52"/>
  <c r="O66" i="52"/>
  <c r="O68" i="52"/>
  <c r="S30" i="52"/>
  <c r="R31" i="52"/>
  <c r="R33" i="52"/>
  <c r="R34" i="52"/>
  <c r="R35" i="52"/>
  <c r="R32" i="52"/>
  <c r="R36" i="52"/>
  <c r="R37" i="52"/>
  <c r="R38" i="52"/>
  <c r="R39" i="52"/>
  <c r="O30" i="52"/>
  <c r="P32" i="52"/>
  <c r="P34" i="52"/>
  <c r="P33" i="52"/>
  <c r="P37" i="52"/>
  <c r="P38" i="52"/>
  <c r="P31" i="52"/>
  <c r="P39" i="52"/>
  <c r="P35" i="52"/>
  <c r="P36" i="52"/>
  <c r="Q41" i="52"/>
  <c r="B1" i="56"/>
  <c r="Z16" i="56"/>
  <c r="Z64" i="56" s="1"/>
  <c r="P64" i="56"/>
  <c r="T64" i="56"/>
  <c r="X64" i="56"/>
  <c r="L64" i="56"/>
  <c r="AB64" i="56"/>
  <c r="J64" i="56"/>
  <c r="N64" i="56"/>
  <c r="R64" i="56"/>
  <c r="R71" i="52" l="1"/>
  <c r="P71" i="52"/>
  <c r="D74" i="52" s="1"/>
  <c r="D76" i="52" s="1"/>
  <c r="N61" i="52"/>
  <c r="N63" i="52"/>
  <c r="N62" i="52"/>
  <c r="N64" i="52"/>
  <c r="N67" i="52"/>
  <c r="N66" i="52"/>
  <c r="N65" i="52"/>
  <c r="N69" i="52"/>
  <c r="N68" i="52"/>
  <c r="O71" i="52"/>
  <c r="S71" i="52"/>
  <c r="T62" i="52"/>
  <c r="T61" i="52"/>
  <c r="T63" i="52"/>
  <c r="T66" i="52"/>
  <c r="T65" i="52"/>
  <c r="T69" i="52"/>
  <c r="T64" i="52"/>
  <c r="T68" i="52"/>
  <c r="T67" i="52"/>
  <c r="R41" i="52"/>
  <c r="P41" i="52"/>
  <c r="D44" i="52" s="1"/>
  <c r="D46" i="52" s="1"/>
  <c r="S32" i="52"/>
  <c r="S34" i="52"/>
  <c r="S36" i="52"/>
  <c r="S38" i="52"/>
  <c r="T30" i="52"/>
  <c r="S33" i="52"/>
  <c r="S35" i="52"/>
  <c r="S31" i="52"/>
  <c r="S37" i="52"/>
  <c r="S39" i="52"/>
  <c r="O32" i="52"/>
  <c r="O34" i="52"/>
  <c r="O36" i="52"/>
  <c r="O38" i="52"/>
  <c r="N30" i="52"/>
  <c r="O31" i="52"/>
  <c r="O35" i="52"/>
  <c r="O33" i="52"/>
  <c r="O37" i="52"/>
  <c r="O39" i="52"/>
  <c r="I26" i="45"/>
  <c r="AH24" i="11"/>
  <c r="AH17" i="11"/>
  <c r="AH18" i="11"/>
  <c r="AH19" i="11"/>
  <c r="AF36" i="11"/>
  <c r="W27" i="45" s="1"/>
  <c r="AD36" i="11"/>
  <c r="U27" i="45" s="1"/>
  <c r="AB36" i="11"/>
  <c r="S27" i="45" s="1"/>
  <c r="Z36" i="11"/>
  <c r="Q27" i="45" s="1"/>
  <c r="X36" i="11"/>
  <c r="O27" i="45" s="1"/>
  <c r="AF27" i="11"/>
  <c r="W21" i="45" s="1"/>
  <c r="AD27" i="11"/>
  <c r="U21" i="45" s="1"/>
  <c r="AB27" i="11"/>
  <c r="S21" i="45" s="1"/>
  <c r="Z27" i="11"/>
  <c r="Q21" i="45" s="1"/>
  <c r="X27" i="11"/>
  <c r="O21" i="45" s="1"/>
  <c r="AF16" i="11"/>
  <c r="AD16" i="11"/>
  <c r="AB16" i="11"/>
  <c r="Z16" i="11"/>
  <c r="X16" i="11"/>
  <c r="S17" i="43"/>
  <c r="S18" i="43"/>
  <c r="S19" i="43"/>
  <c r="S16" i="43"/>
  <c r="AE70" i="43"/>
  <c r="AC70" i="43"/>
  <c r="AA70" i="43"/>
  <c r="Y70" i="43"/>
  <c r="W70" i="43"/>
  <c r="AE61" i="43"/>
  <c r="AC61" i="43"/>
  <c r="AA61" i="43"/>
  <c r="Y61" i="43"/>
  <c r="W61" i="43"/>
  <c r="AE49" i="43"/>
  <c r="AE53" i="43" s="1"/>
  <c r="AC49" i="43"/>
  <c r="AC53" i="43" s="1"/>
  <c r="AA49" i="43"/>
  <c r="AA53" i="43" s="1"/>
  <c r="Y49" i="43"/>
  <c r="Y53" i="43" s="1"/>
  <c r="W49" i="43"/>
  <c r="W53" i="43" s="1"/>
  <c r="AF20" i="11" l="1"/>
  <c r="W16" i="45"/>
  <c r="AB20" i="11"/>
  <c r="S16" i="45"/>
  <c r="X20" i="11"/>
  <c r="O17" i="45" s="1"/>
  <c r="O16" i="45"/>
  <c r="W65" i="43"/>
  <c r="W78" i="43" s="1"/>
  <c r="Z20" i="11"/>
  <c r="Q17" i="45" s="1"/>
  <c r="Q16" i="45"/>
  <c r="AD20" i="11"/>
  <c r="U17" i="45" s="1"/>
  <c r="U16" i="45"/>
  <c r="N71" i="52"/>
  <c r="U62" i="52"/>
  <c r="U64" i="52"/>
  <c r="U66" i="52"/>
  <c r="U68" i="52"/>
  <c r="U61" i="52"/>
  <c r="U63" i="52"/>
  <c r="U65" i="52"/>
  <c r="U67" i="52"/>
  <c r="U69" i="52"/>
  <c r="M62" i="52"/>
  <c r="M64" i="52"/>
  <c r="M66" i="52"/>
  <c r="M68" i="52"/>
  <c r="M61" i="52"/>
  <c r="M63" i="52"/>
  <c r="M65" i="52"/>
  <c r="M67" i="52"/>
  <c r="M69" i="52"/>
  <c r="O41" i="52"/>
  <c r="S41" i="52"/>
  <c r="T71" i="52"/>
  <c r="N31" i="52"/>
  <c r="N33" i="52"/>
  <c r="N35" i="52"/>
  <c r="N34" i="52"/>
  <c r="N36" i="52"/>
  <c r="N37" i="52"/>
  <c r="M30" i="52"/>
  <c r="N32" i="52"/>
  <c r="N38" i="52"/>
  <c r="N39" i="52"/>
  <c r="T32" i="52"/>
  <c r="T39" i="52"/>
  <c r="T34" i="52"/>
  <c r="T33" i="52"/>
  <c r="T35" i="52"/>
  <c r="T36" i="52"/>
  <c r="U30" i="52"/>
  <c r="T31" i="52"/>
  <c r="T37" i="52"/>
  <c r="T38" i="52"/>
  <c r="Y65" i="43"/>
  <c r="Y78" i="43" s="1"/>
  <c r="AA65" i="43"/>
  <c r="AA78" i="43" s="1"/>
  <c r="AE65" i="43"/>
  <c r="AE78" i="43" s="1"/>
  <c r="AC65" i="43"/>
  <c r="AC78" i="43" s="1"/>
  <c r="Z31" i="11"/>
  <c r="AD31" i="11"/>
  <c r="U22" i="45" s="1"/>
  <c r="X31" i="11"/>
  <c r="AF31" i="11" l="1"/>
  <c r="W17" i="45"/>
  <c r="AB31" i="11"/>
  <c r="S17" i="45"/>
  <c r="L62" i="52"/>
  <c r="L64" i="52"/>
  <c r="L67" i="52"/>
  <c r="L66" i="52"/>
  <c r="L65" i="52"/>
  <c r="L69" i="52"/>
  <c r="L61" i="52"/>
  <c r="L63" i="52"/>
  <c r="L68" i="52"/>
  <c r="M71" i="52"/>
  <c r="U71" i="52"/>
  <c r="V61" i="52"/>
  <c r="V63" i="52"/>
  <c r="V64" i="52"/>
  <c r="V67" i="52"/>
  <c r="V66" i="52"/>
  <c r="V62" i="52"/>
  <c r="V65" i="52"/>
  <c r="V69" i="52"/>
  <c r="V68" i="52"/>
  <c r="M31" i="52"/>
  <c r="M33" i="52"/>
  <c r="M35" i="52"/>
  <c r="M37" i="52"/>
  <c r="M39" i="52"/>
  <c r="L30" i="52"/>
  <c r="M34" i="52"/>
  <c r="M36" i="52"/>
  <c r="M32" i="52"/>
  <c r="M38" i="52"/>
  <c r="T41" i="52"/>
  <c r="U31" i="52"/>
  <c r="U33" i="52"/>
  <c r="U35" i="52"/>
  <c r="U37" i="52"/>
  <c r="U39" i="52"/>
  <c r="V30" i="52"/>
  <c r="U38" i="52"/>
  <c r="U32" i="52"/>
  <c r="U34" i="52"/>
  <c r="U36" i="52"/>
  <c r="N41" i="52"/>
  <c r="Q22" i="45"/>
  <c r="Q28" i="45" s="1"/>
  <c r="X41" i="11"/>
  <c r="O22" i="45"/>
  <c r="O28" i="45" s="1"/>
  <c r="Z41" i="11"/>
  <c r="AD41" i="11"/>
  <c r="U28" i="45"/>
  <c r="D15" i="42"/>
  <c r="D14" i="42"/>
  <c r="S22" i="45" l="1"/>
  <c r="S28" i="45" s="1"/>
  <c r="AB41" i="11"/>
  <c r="W22" i="45"/>
  <c r="W28" i="45" s="1"/>
  <c r="AF41" i="11"/>
  <c r="V71" i="52"/>
  <c r="W61" i="52"/>
  <c r="W63" i="52"/>
  <c r="W65" i="52"/>
  <c r="W67" i="52"/>
  <c r="W69" i="52"/>
  <c r="W62" i="52"/>
  <c r="W64" i="52"/>
  <c r="W66" i="52"/>
  <c r="W68" i="52"/>
  <c r="K61" i="52"/>
  <c r="K63" i="52"/>
  <c r="K65" i="52"/>
  <c r="K67" i="52"/>
  <c r="K69" i="52"/>
  <c r="K62" i="52"/>
  <c r="K64" i="52"/>
  <c r="K66" i="52"/>
  <c r="K68" i="52"/>
  <c r="L71" i="52"/>
  <c r="K30" i="52"/>
  <c r="L32" i="52"/>
  <c r="L34" i="52"/>
  <c r="L35" i="52"/>
  <c r="L36" i="52"/>
  <c r="L37" i="52"/>
  <c r="L38" i="52"/>
  <c r="L33" i="52"/>
  <c r="L39" i="52"/>
  <c r="L31" i="52"/>
  <c r="W30" i="52"/>
  <c r="V31" i="52"/>
  <c r="V33" i="52"/>
  <c r="V36" i="52"/>
  <c r="V38" i="52"/>
  <c r="V39" i="52"/>
  <c r="V32" i="52"/>
  <c r="V34" i="52"/>
  <c r="V35" i="52"/>
  <c r="V37" i="52"/>
  <c r="M41" i="52"/>
  <c r="U41" i="52"/>
  <c r="X62" i="52" l="1"/>
  <c r="X64" i="52"/>
  <c r="X68" i="52"/>
  <c r="X61" i="52"/>
  <c r="X63" i="52"/>
  <c r="X67" i="52"/>
  <c r="X66" i="52"/>
  <c r="X65" i="52"/>
  <c r="X69" i="52"/>
  <c r="W71" i="52"/>
  <c r="J61" i="52"/>
  <c r="J63" i="52"/>
  <c r="J65" i="52"/>
  <c r="J69" i="52"/>
  <c r="J68" i="52"/>
  <c r="J67" i="52"/>
  <c r="J62" i="52"/>
  <c r="J64" i="52"/>
  <c r="J66" i="52"/>
  <c r="K71" i="52"/>
  <c r="W32" i="52"/>
  <c r="W34" i="52"/>
  <c r="W36" i="52"/>
  <c r="W38" i="52"/>
  <c r="X30" i="52"/>
  <c r="W31" i="52"/>
  <c r="W35" i="52"/>
  <c r="W37" i="52"/>
  <c r="W39" i="52"/>
  <c r="W33" i="52"/>
  <c r="L41" i="52"/>
  <c r="K32" i="52"/>
  <c r="K34" i="52"/>
  <c r="K36" i="52"/>
  <c r="K38" i="52"/>
  <c r="K37" i="52"/>
  <c r="K33" i="52"/>
  <c r="K39" i="52"/>
  <c r="J30" i="52"/>
  <c r="K31" i="52"/>
  <c r="K35" i="52"/>
  <c r="V41" i="52"/>
  <c r="J71" i="52" l="1"/>
  <c r="X71" i="52"/>
  <c r="Y62" i="52"/>
  <c r="Y64" i="52"/>
  <c r="Y66" i="52"/>
  <c r="Y68" i="52"/>
  <c r="Y61" i="52"/>
  <c r="Y63" i="52"/>
  <c r="Y65" i="52"/>
  <c r="Y67" i="52"/>
  <c r="Y69" i="52"/>
  <c r="I62" i="52"/>
  <c r="I64" i="52"/>
  <c r="I66" i="52"/>
  <c r="I68" i="52"/>
  <c r="I61" i="52"/>
  <c r="I63" i="52"/>
  <c r="I65" i="52"/>
  <c r="I67" i="52"/>
  <c r="I69" i="52"/>
  <c r="J31" i="52"/>
  <c r="J33" i="52"/>
  <c r="J34" i="52"/>
  <c r="J38" i="52"/>
  <c r="J39" i="52"/>
  <c r="I30" i="52"/>
  <c r="J32" i="52"/>
  <c r="J35" i="52"/>
  <c r="J36" i="52"/>
  <c r="J37" i="52"/>
  <c r="W41" i="52"/>
  <c r="X32" i="52"/>
  <c r="X33" i="52"/>
  <c r="X34" i="52"/>
  <c r="Y30" i="52"/>
  <c r="X31" i="52"/>
  <c r="X35" i="52"/>
  <c r="X36" i="52"/>
  <c r="X37" i="52"/>
  <c r="X38" i="52"/>
  <c r="X39" i="52"/>
  <c r="K41" i="52"/>
  <c r="F24" i="7"/>
  <c r="F20" i="7" s="1"/>
  <c r="D20" i="7"/>
  <c r="Y71" i="52" l="1"/>
  <c r="Z61" i="52"/>
  <c r="Z63" i="52"/>
  <c r="Z65" i="52"/>
  <c r="Z69" i="52"/>
  <c r="Z64" i="52"/>
  <c r="Z68" i="52"/>
  <c r="Z67" i="52"/>
  <c r="Z62" i="52"/>
  <c r="Z66" i="52"/>
  <c r="H62" i="52"/>
  <c r="H64" i="52"/>
  <c r="H68" i="52"/>
  <c r="H61" i="52"/>
  <c r="H63" i="52"/>
  <c r="H67" i="52"/>
  <c r="H66" i="52"/>
  <c r="H65" i="52"/>
  <c r="H69" i="52"/>
  <c r="I71" i="52"/>
  <c r="Y31" i="52"/>
  <c r="Y33" i="52"/>
  <c r="Y35" i="52"/>
  <c r="Y37" i="52"/>
  <c r="Y39" i="52"/>
  <c r="Y32" i="52"/>
  <c r="Y34" i="52"/>
  <c r="Z30" i="52"/>
  <c r="Y36" i="52"/>
  <c r="Y38" i="52"/>
  <c r="I31" i="52"/>
  <c r="I33" i="52"/>
  <c r="I35" i="52"/>
  <c r="I37" i="52"/>
  <c r="I39" i="52"/>
  <c r="H30" i="52"/>
  <c r="I32" i="52"/>
  <c r="I36" i="52"/>
  <c r="I34" i="52"/>
  <c r="I38" i="52"/>
  <c r="J41" i="52"/>
  <c r="X41" i="52"/>
  <c r="P15" i="44"/>
  <c r="Z71" i="52" l="1"/>
  <c r="AA61" i="52"/>
  <c r="AA63" i="52"/>
  <c r="AA65" i="52"/>
  <c r="AA67" i="52"/>
  <c r="AA69" i="52"/>
  <c r="AA62" i="52"/>
  <c r="AA64" i="52"/>
  <c r="AA66" i="52"/>
  <c r="AA68" i="52"/>
  <c r="H71" i="52"/>
  <c r="G61" i="52"/>
  <c r="G63" i="52"/>
  <c r="G65" i="52"/>
  <c r="G67" i="52"/>
  <c r="G69" i="52"/>
  <c r="G62" i="52"/>
  <c r="G64" i="52"/>
  <c r="G66" i="52"/>
  <c r="G68" i="52"/>
  <c r="Y41" i="52"/>
  <c r="G30" i="52"/>
  <c r="H32" i="52"/>
  <c r="H34" i="52"/>
  <c r="H33" i="52"/>
  <c r="H31" i="52"/>
  <c r="H35" i="52"/>
  <c r="H36" i="52"/>
  <c r="H37" i="52"/>
  <c r="H38" i="52"/>
  <c r="H39" i="52"/>
  <c r="AA30" i="52"/>
  <c r="Z31" i="52"/>
  <c r="Z33" i="52"/>
  <c r="Z32" i="52"/>
  <c r="Z34" i="52"/>
  <c r="Z35" i="52"/>
  <c r="Z36" i="52"/>
  <c r="Z37" i="52"/>
  <c r="Z38" i="52"/>
  <c r="Z39" i="52"/>
  <c r="I41" i="52"/>
  <c r="O43" i="45"/>
  <c r="Q43" i="45"/>
  <c r="W43" i="45"/>
  <c r="U43" i="45"/>
  <c r="S43" i="45"/>
  <c r="W42" i="45"/>
  <c r="U39" i="45"/>
  <c r="S42" i="45"/>
  <c r="Q47" i="45"/>
  <c r="Q37" i="45"/>
  <c r="O40" i="45"/>
  <c r="I38" i="45"/>
  <c r="G45" i="45"/>
  <c r="W41" i="45"/>
  <c r="S41" i="45"/>
  <c r="Q36" i="45"/>
  <c r="G44" i="45"/>
  <c r="Q35" i="45"/>
  <c r="W39" i="45"/>
  <c r="U45" i="45"/>
  <c r="U36" i="45"/>
  <c r="S39" i="45"/>
  <c r="Q42" i="45"/>
  <c r="O47" i="45"/>
  <c r="O37" i="45"/>
  <c r="M39" i="45"/>
  <c r="I44" i="45"/>
  <c r="I35" i="45"/>
  <c r="K38" i="45"/>
  <c r="G39" i="45"/>
  <c r="W44" i="45"/>
  <c r="U41" i="45"/>
  <c r="Q39" i="45"/>
  <c r="K44" i="45"/>
  <c r="W47" i="45"/>
  <c r="W38" i="45"/>
  <c r="U44" i="45"/>
  <c r="U35" i="45"/>
  <c r="S38" i="45"/>
  <c r="Q41" i="45"/>
  <c r="O45" i="45"/>
  <c r="O36" i="45"/>
  <c r="M38" i="45"/>
  <c r="G40" i="45"/>
  <c r="S45" i="45"/>
  <c r="K35" i="45"/>
  <c r="S40" i="45"/>
  <c r="I45" i="45"/>
  <c r="W37" i="45"/>
  <c r="U42" i="45"/>
  <c r="S47" i="45"/>
  <c r="S37" i="45"/>
  <c r="Q40" i="45"/>
  <c r="O44" i="45"/>
  <c r="O35" i="45"/>
  <c r="K45" i="45"/>
  <c r="W36" i="45"/>
  <c r="S36" i="45"/>
  <c r="O42" i="45"/>
  <c r="I40" i="45"/>
  <c r="G38" i="45"/>
  <c r="W40" i="45"/>
  <c r="O38" i="45"/>
  <c r="W45" i="45"/>
  <c r="W35" i="45"/>
  <c r="U40" i="45"/>
  <c r="S44" i="45"/>
  <c r="S35" i="45"/>
  <c r="Q38" i="45"/>
  <c r="O41" i="45"/>
  <c r="M44" i="45"/>
  <c r="M35" i="45"/>
  <c r="I39" i="45"/>
  <c r="I46" i="45"/>
  <c r="U38" i="45"/>
  <c r="Q45" i="45"/>
  <c r="O39" i="45"/>
  <c r="K40" i="45"/>
  <c r="G35" i="45"/>
  <c r="U47" i="45"/>
  <c r="U37" i="45"/>
  <c r="Q44" i="45"/>
  <c r="M40" i="45"/>
  <c r="K39" i="45"/>
  <c r="A3" i="52"/>
  <c r="A1" i="52"/>
  <c r="AA71" i="52" l="1"/>
  <c r="G71" i="52"/>
  <c r="AA32" i="52"/>
  <c r="AA34" i="52"/>
  <c r="AA36" i="52"/>
  <c r="AA38" i="52"/>
  <c r="AA37" i="52"/>
  <c r="AA33" i="52"/>
  <c r="AA39" i="52"/>
  <c r="AA31" i="52"/>
  <c r="AA35" i="52"/>
  <c r="H41" i="52"/>
  <c r="G32" i="52"/>
  <c r="G34" i="52"/>
  <c r="G36" i="52"/>
  <c r="G38" i="52"/>
  <c r="G31" i="52"/>
  <c r="G35" i="52"/>
  <c r="G37" i="52"/>
  <c r="G39" i="52"/>
  <c r="G33" i="52"/>
  <c r="Z41" i="52"/>
  <c r="S48" i="45"/>
  <c r="O48" i="45"/>
  <c r="U48" i="45"/>
  <c r="W48" i="45"/>
  <c r="Q48" i="45"/>
  <c r="AA41" i="52" l="1"/>
  <c r="G41" i="52"/>
  <c r="E12" i="52" l="1"/>
  <c r="E13" i="52" s="1"/>
  <c r="E17" i="52"/>
  <c r="E18" i="52" s="1"/>
  <c r="A1" i="50" l="1"/>
  <c r="A1" i="49"/>
  <c r="A1" i="46"/>
  <c r="A1" i="42"/>
  <c r="A1" i="10"/>
  <c r="A1" i="44"/>
  <c r="A3" i="50" l="1"/>
  <c r="F14" i="49" l="1"/>
  <c r="F15" i="49" s="1"/>
  <c r="A3" i="49" l="1"/>
  <c r="M35" i="47" l="1"/>
  <c r="K35" i="47"/>
  <c r="I35" i="47"/>
  <c r="G35" i="47"/>
  <c r="E35" i="47"/>
  <c r="M22" i="47"/>
  <c r="K22" i="47"/>
  <c r="I22" i="47"/>
  <c r="G22" i="47"/>
  <c r="E22" i="47"/>
  <c r="A3" i="47"/>
  <c r="A1" i="47"/>
  <c r="D65" i="46" l="1"/>
  <c r="D67" i="46" s="1"/>
  <c r="F69" i="46" s="1"/>
  <c r="D61" i="46"/>
  <c r="F63" i="46" s="1"/>
  <c r="D46" i="46"/>
  <c r="D48" i="46" s="1"/>
  <c r="F50" i="46" s="1"/>
  <c r="D40" i="46"/>
  <c r="D42" i="46" s="1"/>
  <c r="F44" i="46" s="1"/>
  <c r="F19" i="46"/>
  <c r="F22" i="46" s="1"/>
  <c r="F24" i="46" s="1"/>
  <c r="A3" i="46"/>
  <c r="Y15" i="45"/>
  <c r="A3" i="45"/>
  <c r="A1" i="45"/>
  <c r="N57" i="44"/>
  <c r="L57" i="44"/>
  <c r="J57" i="44"/>
  <c r="H57" i="44"/>
  <c r="N45" i="44"/>
  <c r="L45" i="44"/>
  <c r="J45" i="44"/>
  <c r="H45" i="44"/>
  <c r="J7" i="44"/>
  <c r="J15" i="44" s="1"/>
  <c r="H7" i="44"/>
  <c r="H15" i="44" s="1"/>
  <c r="J27" i="44"/>
  <c r="N20" i="44" s="1"/>
  <c r="B7" i="44"/>
  <c r="H27" i="44"/>
  <c r="L20" i="44" s="1"/>
  <c r="D41" i="42"/>
  <c r="S39" i="43"/>
  <c r="U70" i="43"/>
  <c r="S70" i="43"/>
  <c r="Q70" i="43"/>
  <c r="O70" i="43"/>
  <c r="M70" i="43"/>
  <c r="K70" i="43"/>
  <c r="I70" i="43"/>
  <c r="G70" i="43"/>
  <c r="E70" i="43"/>
  <c r="U61" i="43"/>
  <c r="S61" i="43"/>
  <c r="Q61" i="43"/>
  <c r="O61" i="43"/>
  <c r="M61" i="43"/>
  <c r="K61" i="43"/>
  <c r="I61" i="43"/>
  <c r="G61" i="43"/>
  <c r="E61" i="43"/>
  <c r="S40" i="43" l="1"/>
  <c r="S41" i="43" s="1"/>
  <c r="Y19" i="45"/>
  <c r="L7" i="44"/>
  <c r="N7" i="44"/>
  <c r="L10" i="44"/>
  <c r="N14" i="44"/>
  <c r="L12" i="44"/>
  <c r="N13" i="44"/>
  <c r="L13" i="44"/>
  <c r="N12" i="44"/>
  <c r="N19" i="44"/>
  <c r="F7" i="50" s="1"/>
  <c r="N11" i="44"/>
  <c r="N26" i="44"/>
  <c r="N10" i="44"/>
  <c r="N23" i="44"/>
  <c r="N9" i="44"/>
  <c r="N22" i="44"/>
  <c r="D31" i="46"/>
  <c r="D33" i="46" s="1"/>
  <c r="D36" i="46" s="1"/>
  <c r="F38" i="46" s="1"/>
  <c r="F27" i="46"/>
  <c r="N25" i="44"/>
  <c r="N21" i="44"/>
  <c r="N24" i="44"/>
  <c r="L8" i="44"/>
  <c r="L11" i="44"/>
  <c r="L9" i="44"/>
  <c r="L14" i="44"/>
  <c r="L26" i="44"/>
  <c r="L24" i="44"/>
  <c r="L23" i="44"/>
  <c r="L19" i="44"/>
  <c r="L22" i="44"/>
  <c r="L25" i="44"/>
  <c r="L21" i="44"/>
  <c r="S20" i="43"/>
  <c r="S21" i="43" s="1"/>
  <c r="U49" i="43"/>
  <c r="U53" i="43" s="1"/>
  <c r="U65" i="43" s="1"/>
  <c r="U78" i="43" s="1"/>
  <c r="S49" i="43"/>
  <c r="S53" i="43" s="1"/>
  <c r="S65" i="43" s="1"/>
  <c r="S78" i="43" s="1"/>
  <c r="Q49" i="43"/>
  <c r="Q53" i="43" s="1"/>
  <c r="Q65" i="43" s="1"/>
  <c r="Q78" i="43" s="1"/>
  <c r="O49" i="43"/>
  <c r="O53" i="43" s="1"/>
  <c r="O65" i="43" s="1"/>
  <c r="O78" i="43" s="1"/>
  <c r="M49" i="43"/>
  <c r="M53" i="43" s="1"/>
  <c r="M65" i="43" s="1"/>
  <c r="M78" i="43" s="1"/>
  <c r="K49" i="43"/>
  <c r="K53" i="43" s="1"/>
  <c r="K65" i="43" s="1"/>
  <c r="K78" i="43" s="1"/>
  <c r="I49" i="43"/>
  <c r="I53" i="43" s="1"/>
  <c r="I65" i="43" s="1"/>
  <c r="I78" i="43" s="1"/>
  <c r="G49" i="43"/>
  <c r="G53" i="43" s="1"/>
  <c r="G65" i="43" s="1"/>
  <c r="G78" i="43" s="1"/>
  <c r="E49" i="43"/>
  <c r="E53" i="43" s="1"/>
  <c r="E65" i="43" s="1"/>
  <c r="E75" i="43" s="1"/>
  <c r="A3" i="43"/>
  <c r="A1" i="43"/>
  <c r="L15" i="44" l="1"/>
  <c r="F16" i="49"/>
  <c r="F18" i="49" s="1"/>
  <c r="F19" i="49" s="1"/>
  <c r="N15" i="44"/>
  <c r="L27" i="44"/>
  <c r="L16" i="44"/>
  <c r="N16" i="44"/>
  <c r="N27" i="44"/>
  <c r="F49" i="11" l="1"/>
  <c r="V36" i="11" l="1"/>
  <c r="T36" i="11"/>
  <c r="R36" i="11"/>
  <c r="I27" i="45" s="1"/>
  <c r="I47" i="45" s="1"/>
  <c r="P36" i="11"/>
  <c r="N36" i="11"/>
  <c r="E27" i="45" s="1"/>
  <c r="L36" i="11"/>
  <c r="J36" i="11"/>
  <c r="H36" i="11"/>
  <c r="F36" i="11"/>
  <c r="V27" i="11"/>
  <c r="T27" i="11"/>
  <c r="R27" i="11"/>
  <c r="P27" i="11"/>
  <c r="N27" i="11"/>
  <c r="E21" i="45" s="1"/>
  <c r="L27" i="11"/>
  <c r="J27" i="11"/>
  <c r="H27" i="11"/>
  <c r="F27" i="11"/>
  <c r="V16" i="11"/>
  <c r="T16" i="11"/>
  <c r="R16" i="11"/>
  <c r="P16" i="11"/>
  <c r="N16" i="11"/>
  <c r="E16" i="45" s="1"/>
  <c r="L16" i="11"/>
  <c r="L20" i="11" s="1"/>
  <c r="J16" i="11"/>
  <c r="J20" i="11" s="1"/>
  <c r="H16" i="11"/>
  <c r="H20" i="11" s="1"/>
  <c r="F16" i="11"/>
  <c r="G16" i="45" l="1"/>
  <c r="G36" i="45" s="1"/>
  <c r="M21" i="45"/>
  <c r="M41" i="45" s="1"/>
  <c r="G27" i="45"/>
  <c r="G47" i="45" s="1"/>
  <c r="I21" i="45"/>
  <c r="I41" i="45" s="1"/>
  <c r="K27" i="45"/>
  <c r="K47" i="45" s="1"/>
  <c r="K21" i="45"/>
  <c r="K41" i="45" s="1"/>
  <c r="I16" i="45"/>
  <c r="I36" i="45" s="1"/>
  <c r="K16" i="45"/>
  <c r="K36" i="45" s="1"/>
  <c r="M16" i="45"/>
  <c r="M36" i="45" s="1"/>
  <c r="G21" i="45"/>
  <c r="G41" i="45" s="1"/>
  <c r="M27" i="45"/>
  <c r="M47" i="45" s="1"/>
  <c r="AH16" i="11"/>
  <c r="F20" i="11"/>
  <c r="P20" i="11"/>
  <c r="T20" i="11"/>
  <c r="N20" i="11"/>
  <c r="E17" i="45" s="1"/>
  <c r="V20" i="11"/>
  <c r="R20" i="11"/>
  <c r="L31" i="11"/>
  <c r="L41" i="11" s="1"/>
  <c r="H31" i="11"/>
  <c r="H41" i="11" s="1"/>
  <c r="J31" i="11"/>
  <c r="J41" i="11" s="1"/>
  <c r="I17" i="45" l="1"/>
  <c r="I37" i="45" s="1"/>
  <c r="M17" i="45"/>
  <c r="M37" i="45" s="1"/>
  <c r="K17" i="45"/>
  <c r="Y17" i="45" s="1"/>
  <c r="G17" i="45"/>
  <c r="G37" i="45" s="1"/>
  <c r="V31" i="11"/>
  <c r="V41" i="11" s="1"/>
  <c r="P31" i="11"/>
  <c r="G22" i="45" s="1"/>
  <c r="AH20" i="11"/>
  <c r="Y16" i="45"/>
  <c r="T31" i="11"/>
  <c r="K22" i="45" s="1"/>
  <c r="R31" i="11"/>
  <c r="N31" i="11"/>
  <c r="E22" i="45" s="1"/>
  <c r="B1" i="11"/>
  <c r="B3" i="11"/>
  <c r="A3" i="42"/>
  <c r="K37" i="45" l="1"/>
  <c r="M22" i="45"/>
  <c r="M42" i="45" s="1"/>
  <c r="M48" i="45" s="1"/>
  <c r="I22" i="45"/>
  <c r="I28" i="45" s="1"/>
  <c r="K28" i="45"/>
  <c r="K42" i="45"/>
  <c r="K48" i="45" s="1"/>
  <c r="P41" i="11"/>
  <c r="G42" i="45"/>
  <c r="G48" i="45" s="1"/>
  <c r="T41" i="11"/>
  <c r="N41" i="11"/>
  <c r="E28" i="45"/>
  <c r="R41" i="11"/>
  <c r="A3" i="7"/>
  <c r="F53" i="7"/>
  <c r="D53" i="7"/>
  <c r="F47" i="7"/>
  <c r="D47" i="7"/>
  <c r="F38" i="7"/>
  <c r="F15" i="7"/>
  <c r="F42" i="7" s="1"/>
  <c r="D15" i="7"/>
  <c r="D42" i="7" s="1"/>
  <c r="A3" i="10"/>
  <c r="A3" i="41"/>
  <c r="A83" i="41"/>
  <c r="L80" i="41"/>
  <c r="J79" i="41"/>
  <c r="J78" i="41"/>
  <c r="H78" i="41"/>
  <c r="F78" i="41"/>
  <c r="L77" i="41"/>
  <c r="L76" i="41"/>
  <c r="L75" i="41"/>
  <c r="L74" i="41"/>
  <c r="L73" i="41"/>
  <c r="L72" i="41"/>
  <c r="L71" i="41"/>
  <c r="L70" i="41"/>
  <c r="L69" i="41"/>
  <c r="L68" i="41"/>
  <c r="L67" i="41"/>
  <c r="L66" i="41"/>
  <c r="L65" i="41"/>
  <c r="L64" i="41"/>
  <c r="L63" i="41"/>
  <c r="L62" i="41"/>
  <c r="L60" i="41"/>
  <c r="L59" i="41"/>
  <c r="J58" i="41"/>
  <c r="H58" i="41"/>
  <c r="F58" i="41"/>
  <c r="L57" i="41"/>
  <c r="L56" i="41"/>
  <c r="L55" i="41"/>
  <c r="J54" i="41"/>
  <c r="H54" i="41"/>
  <c r="F54" i="41"/>
  <c r="L53" i="41"/>
  <c r="L45" i="41"/>
  <c r="L44" i="41"/>
  <c r="L43" i="41"/>
  <c r="L42" i="41"/>
  <c r="L41" i="41"/>
  <c r="L40" i="41"/>
  <c r="L39" i="41"/>
  <c r="L38" i="41"/>
  <c r="L37" i="41"/>
  <c r="L36" i="41"/>
  <c r="L35" i="41"/>
  <c r="L34" i="41"/>
  <c r="L33" i="41"/>
  <c r="L32" i="41"/>
  <c r="J31" i="41"/>
  <c r="J61" i="41" s="1"/>
  <c r="H31" i="41"/>
  <c r="F31" i="41"/>
  <c r="F79" i="41" s="1"/>
  <c r="L30" i="41"/>
  <c r="L29" i="41"/>
  <c r="L28" i="41"/>
  <c r="L27" i="41"/>
  <c r="L25" i="41"/>
  <c r="L24" i="41"/>
  <c r="J23" i="41"/>
  <c r="J51" i="41" s="1"/>
  <c r="H23" i="41"/>
  <c r="H51" i="41" s="1"/>
  <c r="F23" i="41"/>
  <c r="F51" i="41" s="1"/>
  <c r="L22" i="41"/>
  <c r="L21" i="41"/>
  <c r="L20" i="41"/>
  <c r="L19" i="41"/>
  <c r="L18" i="41"/>
  <c r="L17" i="41"/>
  <c r="L16" i="41"/>
  <c r="L15" i="41"/>
  <c r="L14" i="41"/>
  <c r="L13" i="41"/>
  <c r="L12" i="41"/>
  <c r="L11" i="41"/>
  <c r="L10" i="41"/>
  <c r="L9" i="41"/>
  <c r="L8" i="41"/>
  <c r="L7" i="41"/>
  <c r="D63" i="7" l="1"/>
  <c r="L58" i="41"/>
  <c r="H52" i="41"/>
  <c r="L52" i="41" s="1"/>
  <c r="F52" i="41"/>
  <c r="H47" i="41"/>
  <c r="L78" i="41"/>
  <c r="L54" i="41"/>
  <c r="H79" i="41"/>
  <c r="M28" i="45"/>
  <c r="I42" i="45"/>
  <c r="I48" i="45" s="1"/>
  <c r="G28" i="45"/>
  <c r="L51" i="41"/>
  <c r="L23" i="41"/>
  <c r="L79" i="41"/>
  <c r="F47" i="41"/>
  <c r="J52" i="41"/>
  <c r="F61" i="41"/>
  <c r="H61" i="41"/>
  <c r="L61" i="41" s="1"/>
  <c r="L31" i="41"/>
  <c r="J47" i="41"/>
  <c r="L47" i="41" l="1"/>
  <c r="Y28" i="45"/>
  <c r="H60" i="5"/>
  <c r="F60" i="5"/>
  <c r="J57" i="5"/>
  <c r="J59" i="5"/>
  <c r="J58" i="5"/>
  <c r="J55" i="5"/>
  <c r="J54" i="5"/>
  <c r="J53" i="5"/>
  <c r="J50" i="5"/>
  <c r="J20" i="5"/>
  <c r="J17" i="5"/>
  <c r="J60" i="5" l="1"/>
  <c r="A3" i="5"/>
  <c r="J36" i="5"/>
  <c r="J35" i="5"/>
  <c r="J34" i="5"/>
  <c r="H33" i="5"/>
  <c r="H51" i="5" s="1"/>
  <c r="F33" i="5"/>
  <c r="F51" i="5" s="1"/>
  <c r="J32" i="5"/>
  <c r="J31" i="5"/>
  <c r="J30" i="5"/>
  <c r="J29" i="5"/>
  <c r="J28" i="5"/>
  <c r="J27" i="5"/>
  <c r="J26" i="5"/>
  <c r="J24" i="5"/>
  <c r="J23" i="5"/>
  <c r="J22" i="5"/>
  <c r="H21" i="5"/>
  <c r="F21" i="5"/>
  <c r="J19" i="5"/>
  <c r="J18" i="5"/>
  <c r="J16" i="5"/>
  <c r="J15" i="5"/>
  <c r="J14" i="5"/>
  <c r="J12" i="5"/>
  <c r="J11" i="5"/>
  <c r="J10" i="5"/>
  <c r="H13" i="5"/>
  <c r="F13" i="5"/>
  <c r="J8" i="5"/>
  <c r="J7" i="5"/>
  <c r="L7" i="5" s="1"/>
  <c r="A1" i="5"/>
  <c r="F25" i="5" l="1"/>
  <c r="F52" i="5" s="1"/>
  <c r="F56" i="5" s="1"/>
  <c r="H25" i="5"/>
  <c r="H52" i="5" s="1"/>
  <c r="H56" i="5" s="1"/>
  <c r="F50" i="42"/>
  <c r="F53" i="42"/>
  <c r="L58" i="5"/>
  <c r="L36" i="5"/>
  <c r="L26" i="5"/>
  <c r="L16" i="5"/>
  <c r="L35" i="5"/>
  <c r="L14" i="5"/>
  <c r="L57" i="5"/>
  <c r="L54" i="5"/>
  <c r="L32" i="5"/>
  <c r="L22" i="5"/>
  <c r="L11" i="5"/>
  <c r="L59" i="5"/>
  <c r="L24" i="5"/>
  <c r="L55" i="5"/>
  <c r="L53" i="5"/>
  <c r="L31" i="5"/>
  <c r="L20" i="5"/>
  <c r="L10" i="5"/>
  <c r="L27" i="5"/>
  <c r="L34" i="5"/>
  <c r="L50" i="5"/>
  <c r="L30" i="5"/>
  <c r="L19" i="5"/>
  <c r="L8" i="5"/>
  <c r="L17" i="5"/>
  <c r="L12" i="5"/>
  <c r="L28" i="5"/>
  <c r="L18" i="5"/>
  <c r="L23" i="5"/>
  <c r="D51" i="42"/>
  <c r="D53" i="42" s="1"/>
  <c r="L15" i="5"/>
  <c r="D47" i="42"/>
  <c r="L29" i="5"/>
  <c r="F45" i="42"/>
  <c r="F46" i="42"/>
  <c r="H46" i="42" s="1"/>
  <c r="D15" i="50" s="1"/>
  <c r="F44" i="42"/>
  <c r="F47" i="42"/>
  <c r="U18" i="43"/>
  <c r="U19" i="43"/>
  <c r="U17" i="43"/>
  <c r="U16" i="43"/>
  <c r="A1" i="41"/>
  <c r="A1" i="7"/>
  <c r="J9" i="5"/>
  <c r="J13" i="5" s="1"/>
  <c r="J21" i="5"/>
  <c r="J33" i="5"/>
  <c r="J51" i="5" s="1"/>
  <c r="D43" i="42" s="1"/>
  <c r="J25" i="5" l="1"/>
  <c r="D34" i="42" s="1"/>
  <c r="F25" i="46"/>
  <c r="L9" i="5"/>
  <c r="L13" i="5" s="1"/>
  <c r="H59" i="7"/>
  <c r="H54" i="7"/>
  <c r="H49" i="7"/>
  <c r="H56" i="7"/>
  <c r="H60" i="7"/>
  <c r="H55" i="7"/>
  <c r="H50" i="7"/>
  <c r="H46" i="7"/>
  <c r="H62" i="7"/>
  <c r="H58" i="7"/>
  <c r="H52" i="7"/>
  <c r="H48" i="7"/>
  <c r="H51" i="7"/>
  <c r="G60" i="7"/>
  <c r="G55" i="7"/>
  <c r="G50" i="7"/>
  <c r="G46" i="7"/>
  <c r="G52" i="7"/>
  <c r="G62" i="7"/>
  <c r="G56" i="7"/>
  <c r="G51" i="7"/>
  <c r="G59" i="7"/>
  <c r="G54" i="7"/>
  <c r="G49" i="7"/>
  <c r="G61" i="7"/>
  <c r="G58" i="7"/>
  <c r="G48" i="7"/>
  <c r="H47" i="42"/>
  <c r="H53" i="42"/>
  <c r="D17" i="50" s="1"/>
  <c r="H41" i="7"/>
  <c r="H36" i="7"/>
  <c r="H31" i="7"/>
  <c r="H27" i="7"/>
  <c r="H22" i="7"/>
  <c r="H17" i="7"/>
  <c r="H40" i="7"/>
  <c r="H35" i="7"/>
  <c r="H30" i="7"/>
  <c r="H26" i="7"/>
  <c r="H21" i="7"/>
  <c r="H16" i="7"/>
  <c r="H11" i="7"/>
  <c r="H39" i="7"/>
  <c r="H34" i="7"/>
  <c r="H29" i="7"/>
  <c r="H25" i="7"/>
  <c r="H19" i="7"/>
  <c r="H14" i="7"/>
  <c r="H10" i="7"/>
  <c r="H37" i="7"/>
  <c r="H32" i="7"/>
  <c r="H23" i="7"/>
  <c r="H13" i="7"/>
  <c r="H12" i="7"/>
  <c r="H28" i="7"/>
  <c r="H18" i="7"/>
  <c r="G41" i="7"/>
  <c r="G36" i="7"/>
  <c r="G31" i="7"/>
  <c r="G27" i="7"/>
  <c r="G22" i="7"/>
  <c r="G40" i="7"/>
  <c r="G35" i="7"/>
  <c r="G30" i="7"/>
  <c r="G26" i="7"/>
  <c r="G21" i="7"/>
  <c r="G16" i="7"/>
  <c r="G11" i="7"/>
  <c r="G14" i="7"/>
  <c r="G37" i="7"/>
  <c r="G28" i="7"/>
  <c r="G23" i="7"/>
  <c r="G13" i="7"/>
  <c r="G32" i="7"/>
  <c r="G18" i="7"/>
  <c r="G17" i="7"/>
  <c r="G39" i="7"/>
  <c r="G34" i="7"/>
  <c r="G29" i="7"/>
  <c r="G25" i="7"/>
  <c r="G19" i="7"/>
  <c r="G10" i="7"/>
  <c r="G12" i="7"/>
  <c r="L33" i="5"/>
  <c r="L51" i="5" s="1"/>
  <c r="E44" i="45"/>
  <c r="E35" i="45"/>
  <c r="Y35" i="45" s="1"/>
  <c r="E36" i="45"/>
  <c r="Y36" i="45" s="1"/>
  <c r="E37" i="45"/>
  <c r="Y37" i="45" s="1"/>
  <c r="E38" i="45"/>
  <c r="E39" i="45"/>
  <c r="Y39" i="45" s="1"/>
  <c r="E40" i="45"/>
  <c r="E47" i="45"/>
  <c r="E41" i="45"/>
  <c r="E45" i="45"/>
  <c r="E42" i="45"/>
  <c r="L21" i="5"/>
  <c r="L60" i="5"/>
  <c r="D50" i="42"/>
  <c r="H50" i="42" s="1"/>
  <c r="D16" i="50" s="1"/>
  <c r="U21" i="43"/>
  <c r="G19" i="10" s="1"/>
  <c r="G23" i="10" s="1"/>
  <c r="F26" i="46"/>
  <c r="F28" i="46" s="1"/>
  <c r="H47" i="7" l="1"/>
  <c r="G53" i="7"/>
  <c r="L25" i="5"/>
  <c r="L52" i="5" s="1"/>
  <c r="L56" i="5" s="1"/>
  <c r="G47" i="7"/>
  <c r="H15" i="7"/>
  <c r="H53" i="7"/>
  <c r="J52" i="5"/>
  <c r="P53" i="5" s="1"/>
  <c r="D42" i="42"/>
  <c r="D44" i="42" s="1"/>
  <c r="D45" i="42" s="1"/>
  <c r="H45" i="42" s="1"/>
  <c r="H24" i="7"/>
  <c r="G15" i="7"/>
  <c r="G20" i="7"/>
  <c r="H38" i="7"/>
  <c r="E48" i="45"/>
  <c r="Y48" i="45" s="1"/>
  <c r="G24" i="7"/>
  <c r="H20" i="7"/>
  <c r="G38" i="7"/>
  <c r="F29" i="46"/>
  <c r="D52" i="46"/>
  <c r="D54" i="46" s="1"/>
  <c r="F56" i="46" s="1"/>
  <c r="F57" i="46" s="1"/>
  <c r="F73" i="46" s="1"/>
  <c r="F76" i="46" s="1"/>
  <c r="G63" i="7" l="1"/>
  <c r="G42" i="7"/>
  <c r="H42" i="7"/>
  <c r="J56" i="5"/>
  <c r="H44" i="42"/>
  <c r="D11" i="50" s="1"/>
  <c r="D13" i="50" s="1"/>
  <c r="D79" i="46"/>
  <c r="E4" i="35"/>
  <c r="E5" i="35"/>
  <c r="E6" i="35"/>
  <c r="I10" i="10" l="1"/>
  <c r="G64" i="7"/>
  <c r="J42" i="42"/>
  <c r="D12" i="50"/>
  <c r="D14" i="50" s="1"/>
  <c r="C12" i="35" l="1"/>
  <c r="F23" i="49" s="1"/>
  <c r="E8" i="35"/>
  <c r="E9" i="35"/>
  <c r="E10" i="35"/>
  <c r="E3" i="35" l="1"/>
  <c r="E12" i="35" s="1"/>
  <c r="F63" i="7" l="1"/>
  <c r="H61" i="7"/>
  <c r="H63" i="7" s="1"/>
  <c r="H64" i="7" s="1"/>
  <c r="E22" i="10"/>
  <c r="I24" i="10" l="1"/>
  <c r="I26" i="10" l="1"/>
  <c r="I30" i="10" s="1"/>
  <c r="F23" i="11" l="1"/>
  <c r="F31" i="11" s="1"/>
  <c r="F41" i="11" s="1"/>
  <c r="AH41" i="11" s="1"/>
  <c r="D20" i="49"/>
  <c r="D78" i="46"/>
  <c r="D80" i="46" s="1"/>
  <c r="D21" i="49" l="1"/>
  <c r="F81" i="46"/>
  <c r="D82" i="46" s="1"/>
  <c r="D84" i="46" s="1"/>
  <c r="F22" i="49" l="1"/>
  <c r="F24" i="49" s="1"/>
  <c r="D88" i="46"/>
  <c r="F89" i="46" s="1"/>
  <c r="F26" i="49" l="1"/>
  <c r="F27" i="49" s="1"/>
  <c r="F28" i="49" s="1"/>
  <c r="F90" i="46"/>
  <c r="D13" i="42" s="1"/>
  <c r="F30" i="49" l="1"/>
  <c r="F32" i="49" s="1"/>
  <c r="F33" i="49" s="1"/>
  <c r="D17" i="4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Debate</author>
  </authors>
  <commentList>
    <comment ref="D79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Unison:</t>
        </r>
        <r>
          <rPr>
            <sz val="9"/>
            <color indexed="81"/>
            <rFont val="Tahoma"/>
            <family val="2"/>
          </rPr>
          <t xml:space="preserve">
remember to include additional Schedule I-1s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James Debate</author>
  </authors>
  <commentList>
    <comment ref="C30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Unison:</t>
        </r>
        <r>
          <rPr>
            <sz val="9"/>
            <color indexed="81"/>
            <rFont val="Tahoma"/>
            <family val="2"/>
          </rPr>
          <t xml:space="preserve">
Enter as a number</t>
        </r>
      </text>
    </comment>
    <comment ref="C60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Unison:</t>
        </r>
        <r>
          <rPr>
            <sz val="9"/>
            <color indexed="81"/>
            <rFont val="Tahoma"/>
            <family val="2"/>
          </rPr>
          <t xml:space="preserve">
Enter as a number</t>
        </r>
      </text>
    </comment>
  </commentList>
</comments>
</file>

<file path=xl/sharedStrings.xml><?xml version="1.0" encoding="utf-8"?>
<sst xmlns="http://schemas.openxmlformats.org/spreadsheetml/2006/main" count="1580" uniqueCount="815">
  <si>
    <t>Current year end:</t>
  </si>
  <si>
    <t>Prior year end:</t>
  </si>
  <si>
    <t>Client Name:</t>
  </si>
  <si>
    <t>Entity Name:</t>
  </si>
  <si>
    <t>Entity Information</t>
  </si>
  <si>
    <t>Legal Name of Entity</t>
  </si>
  <si>
    <t>Entity Address</t>
  </si>
  <si>
    <t>Date of Formation/Incorporation</t>
  </si>
  <si>
    <t>Country of Incorportion</t>
  </si>
  <si>
    <t>Name of person in</t>
  </si>
  <si>
    <t>charge of entity's</t>
  </si>
  <si>
    <t>books and records</t>
  </si>
  <si>
    <t>Principal Business Activity</t>
  </si>
  <si>
    <t>Functional currency</t>
  </si>
  <si>
    <t>FILER CATEGORY DETERMINATION</t>
  </si>
  <si>
    <t>Ownership % at start of year</t>
  </si>
  <si>
    <t>Ownership % at end of year</t>
  </si>
  <si>
    <t>Is the filer a director or officer?</t>
  </si>
  <si>
    <t>Does the entity have a 10% corporate shareholder?</t>
  </si>
  <si>
    <t>Yes</t>
  </si>
  <si>
    <t>CFC?</t>
  </si>
  <si>
    <t>Days in year that entity was CFC</t>
  </si>
  <si>
    <t>Days in year that filer owned stock</t>
  </si>
  <si>
    <t>Transition Tax Year?</t>
  </si>
  <si>
    <t>No</t>
  </si>
  <si>
    <t>Category 1a</t>
  </si>
  <si>
    <t>Category 1b</t>
  </si>
  <si>
    <t>Category 1c</t>
  </si>
  <si>
    <t>Category 2</t>
  </si>
  <si>
    <t>Category 3</t>
  </si>
  <si>
    <t>Category 4</t>
  </si>
  <si>
    <t>Category 5a</t>
  </si>
  <si>
    <t>Category 5b</t>
  </si>
  <si>
    <t>Category 5c</t>
  </si>
  <si>
    <t>FUNCTIONAL CURRENCY</t>
  </si>
  <si>
    <t>(Functional currency:1 $US)</t>
  </si>
  <si>
    <t>Divide rate</t>
  </si>
  <si>
    <t>Average Exchange Rate</t>
  </si>
  <si>
    <t>Current year end rate</t>
  </si>
  <si>
    <t>Prior year end rate</t>
  </si>
  <si>
    <t>Details of Shareholding and Changes during the year</t>
  </si>
  <si>
    <t>US Shareholders (Direct &amp; Indirect)</t>
  </si>
  <si>
    <t>Name</t>
  </si>
  <si>
    <t>REF</t>
  </si>
  <si>
    <t>Class of Shares</t>
  </si>
  <si>
    <t>BOY Shares</t>
  </si>
  <si>
    <t>EOY Shares</t>
  </si>
  <si>
    <t>% Ownership at BOY</t>
  </si>
  <si>
    <t>% Ownership at EOY</t>
  </si>
  <si>
    <t>Subpart F %</t>
  </si>
  <si>
    <t>1</t>
  </si>
  <si>
    <t>2</t>
  </si>
  <si>
    <t>3</t>
  </si>
  <si>
    <t>4</t>
  </si>
  <si>
    <t>5</t>
  </si>
  <si>
    <t>6</t>
  </si>
  <si>
    <t>7</t>
  </si>
  <si>
    <t>8</t>
  </si>
  <si>
    <t>Total</t>
  </si>
  <si>
    <t>% held by "US Shareholders"</t>
  </si>
  <si>
    <t>Direct Shareholders</t>
  </si>
  <si>
    <t>Cat 5 related?</t>
  </si>
  <si>
    <t>Cat 2, 3, 4 related?</t>
  </si>
  <si>
    <t>Sch - O Details</t>
  </si>
  <si>
    <t>Details of Filer's Acquisition of Stock since inception</t>
  </si>
  <si>
    <t>Name of Seller</t>
  </si>
  <si>
    <t>Date of Acquisition</t>
  </si>
  <si>
    <t>Method of Acquisition</t>
  </si>
  <si>
    <t>Number Acquired</t>
  </si>
  <si>
    <t>Purchase Price (local Currency)</t>
  </si>
  <si>
    <t>Ex. Rate</t>
  </si>
  <si>
    <t>Purchase Price (USD)</t>
  </si>
  <si>
    <t>Filer's Dispositions of Stock Since Inception</t>
  </si>
  <si>
    <t>Name of Buyer</t>
  </si>
  <si>
    <t>Date of Disposition</t>
  </si>
  <si>
    <t>Method of Disposition</t>
  </si>
  <si>
    <t>Number Sold</t>
  </si>
  <si>
    <t>Sale Price (local Currency)</t>
  </si>
  <si>
    <t>Sale Price (USD)</t>
  </si>
  <si>
    <t>SCHEDULE C INCOME STATEMENT - SCHEDULE C</t>
  </si>
  <si>
    <t>(Amounts in Local Currency and US Dollars)</t>
  </si>
  <si>
    <t>Weighted Average Rate:</t>
  </si>
  <si>
    <t>Income (Loss)</t>
  </si>
  <si>
    <t>Book Income</t>
  </si>
  <si>
    <t>Book Adj</t>
  </si>
  <si>
    <t>Adj Book Income</t>
  </si>
  <si>
    <t>USD Book Income</t>
  </si>
  <si>
    <t>1a</t>
  </si>
  <si>
    <t>Gross receipts</t>
  </si>
  <si>
    <t>b</t>
  </si>
  <si>
    <t>Less returns and allowances</t>
  </si>
  <si>
    <t>Cost of good sold</t>
  </si>
  <si>
    <t>Cost of Labor</t>
  </si>
  <si>
    <t>Purchases</t>
  </si>
  <si>
    <t>Other Costs</t>
  </si>
  <si>
    <t>Gross profit</t>
  </si>
  <si>
    <t>Dividends</t>
  </si>
  <si>
    <t>Interest income</t>
  </si>
  <si>
    <t>6a</t>
  </si>
  <si>
    <t>Gross rents</t>
  </si>
  <si>
    <t>Gross royalties and licence fees</t>
  </si>
  <si>
    <t>Net gain or (loss) on sale of capital assets</t>
  </si>
  <si>
    <t>8a</t>
  </si>
  <si>
    <t>Foreign currency transaction gain or loss - unrealized</t>
  </si>
  <si>
    <t>Foreign currency transaction gain or loss - realized</t>
  </si>
  <si>
    <t>Other income (attach schedule)</t>
  </si>
  <si>
    <t>Other income 1</t>
  </si>
  <si>
    <t>Other income 2</t>
  </si>
  <si>
    <t>Other income 3</t>
  </si>
  <si>
    <t>Total Income</t>
  </si>
  <si>
    <t>Deductions</t>
  </si>
  <si>
    <t>Compensation not deducted elsewhere</t>
  </si>
  <si>
    <t>12a</t>
  </si>
  <si>
    <t>Rents</t>
  </si>
  <si>
    <t>Royalties and licence fees</t>
  </si>
  <si>
    <t>Interest</t>
  </si>
  <si>
    <t>Depreciation not deducted elsewhere</t>
  </si>
  <si>
    <t>Depletion</t>
  </si>
  <si>
    <t>Taxes (exclude income tax expense)</t>
  </si>
  <si>
    <t>Other deductions (attach schedule)</t>
  </si>
  <si>
    <t>Other expense 6</t>
  </si>
  <si>
    <t>Total Deductions</t>
  </si>
  <si>
    <t>Net Income</t>
  </si>
  <si>
    <t>Net Income or (loss) before exceptional items and income tax</t>
  </si>
  <si>
    <t>Unusual or infrequently ocurring items</t>
  </si>
  <si>
    <t>ETR Pre-GILTI</t>
  </si>
  <si>
    <t>21a</t>
  </si>
  <si>
    <t>Income tax expense - current</t>
  </si>
  <si>
    <t>Income tax expense - deferred</t>
  </si>
  <si>
    <t>Current year net income or (loss) per books</t>
  </si>
  <si>
    <t>Other Comprehensive Income</t>
  </si>
  <si>
    <t>23a</t>
  </si>
  <si>
    <t>Other</t>
  </si>
  <si>
    <t>c</t>
  </si>
  <si>
    <t>Income tax expense related to other comprehensive income</t>
  </si>
  <si>
    <t>Other comprehensive income (loss), net of tax</t>
  </si>
  <si>
    <t>INCOME FROM FLOW-THROUGH K-1S</t>
  </si>
  <si>
    <t>(Amounts in US Dollars)</t>
  </si>
  <si>
    <t>D-110</t>
  </si>
  <si>
    <t>K-1 1</t>
  </si>
  <si>
    <t>K-1 2</t>
  </si>
  <si>
    <t>K-1 3</t>
  </si>
  <si>
    <t>Total of all K-1s</t>
  </si>
  <si>
    <t>Ordinary Income (loss) from trade or business activites</t>
  </si>
  <si>
    <t>Net income (loss) from rental real estate activities</t>
  </si>
  <si>
    <t>3a</t>
  </si>
  <si>
    <t>Gross income from other rental activites</t>
  </si>
  <si>
    <t>Expenses from other rental activities (attach schedule)</t>
  </si>
  <si>
    <t>Net income (loss) from rental activites. Subtract line 3b from line 3a</t>
  </si>
  <si>
    <t>Guaranteed payments to partners</t>
  </si>
  <si>
    <t>Interest Income</t>
  </si>
  <si>
    <t>Dividends:</t>
  </si>
  <si>
    <t>a</t>
  </si>
  <si>
    <t>Ordinary dividends</t>
  </si>
  <si>
    <t>Qualified dividends</t>
  </si>
  <si>
    <t>Royalties</t>
  </si>
  <si>
    <t>Net short-term capital gain (loss)</t>
  </si>
  <si>
    <t>9a</t>
  </si>
  <si>
    <t>Net long-term capital gain (loss)</t>
  </si>
  <si>
    <t>Collectibles (28%) rate gain (loss)</t>
  </si>
  <si>
    <t>Unrecaptured section 1250 gain (attach statement)</t>
  </si>
  <si>
    <t>Net section 1231gain (loss) (attach Form 4797)</t>
  </si>
  <si>
    <t>Other income (loss) (attach schedule)</t>
  </si>
  <si>
    <t>Section 179 expense deduction</t>
  </si>
  <si>
    <t>13a</t>
  </si>
  <si>
    <t>Contributions</t>
  </si>
  <si>
    <t>Investment interest expense</t>
  </si>
  <si>
    <t>13b</t>
  </si>
  <si>
    <t>Section 59(e)(2) expenditures</t>
  </si>
  <si>
    <t>13c</t>
  </si>
  <si>
    <t>d</t>
  </si>
  <si>
    <t>13d</t>
  </si>
  <si>
    <t>Other deduction 1</t>
  </si>
  <si>
    <t>Other deduction 2</t>
  </si>
  <si>
    <t>Other deduction 3</t>
  </si>
  <si>
    <t>Other deduction 4</t>
  </si>
  <si>
    <t>Other deduction 5</t>
  </si>
  <si>
    <t>14a</t>
  </si>
  <si>
    <t>Net earnings (loss) from self employment</t>
  </si>
  <si>
    <t>Gross farm or fishing income</t>
  </si>
  <si>
    <t>Gross nonfarm income</t>
  </si>
  <si>
    <t>Credits</t>
  </si>
  <si>
    <t>15a</t>
  </si>
  <si>
    <t>Low-income housing credit (section 42(j)(5)):</t>
  </si>
  <si>
    <t>Low-income housing credit (other)</t>
  </si>
  <si>
    <t>15b</t>
  </si>
  <si>
    <t xml:space="preserve">Qualified rehabilitation expenditures related to rental real estate activites </t>
  </si>
  <si>
    <t>15c</t>
  </si>
  <si>
    <t>Other rental real estate credits</t>
  </si>
  <si>
    <t>15d</t>
  </si>
  <si>
    <t>e</t>
  </si>
  <si>
    <t>Other rental credits</t>
  </si>
  <si>
    <t>15e</t>
  </si>
  <si>
    <t>f</t>
  </si>
  <si>
    <t>Other credits and credit recapture (attach statement)</t>
  </si>
  <si>
    <t>15f</t>
  </si>
  <si>
    <t>/D-100</t>
  </si>
  <si>
    <t>Foreign Transactions</t>
  </si>
  <si>
    <t>16a</t>
  </si>
  <si>
    <t>Name or foreign country or US posession</t>
  </si>
  <si>
    <t>Enter Country</t>
  </si>
  <si>
    <t>Gross income from all sources</t>
  </si>
  <si>
    <t>Gross income sourced at partner level</t>
  </si>
  <si>
    <t>Foreign gross income sourced at partnership level</t>
  </si>
  <si>
    <t>Passive</t>
  </si>
  <si>
    <t>Listed categories (attach Schedule)</t>
  </si>
  <si>
    <t>General limitation</t>
  </si>
  <si>
    <t>Deductions allocated and apportioned at partner level</t>
  </si>
  <si>
    <t>g</t>
  </si>
  <si>
    <t xml:space="preserve">Interest expense    </t>
  </si>
  <si>
    <t>h</t>
  </si>
  <si>
    <t>Deductions allocated and apportioned at partnership level to foreign source income</t>
  </si>
  <si>
    <t>I</t>
  </si>
  <si>
    <t>j</t>
  </si>
  <si>
    <t>k</t>
  </si>
  <si>
    <t>l</t>
  </si>
  <si>
    <t>Total foreign taxes (1) paid</t>
  </si>
  <si>
    <t>l1</t>
  </si>
  <si>
    <t>(2) Accrued</t>
  </si>
  <si>
    <t>l2</t>
  </si>
  <si>
    <t>m</t>
  </si>
  <si>
    <t>Reduction in taxes available for credit (attach schedule)</t>
  </si>
  <si>
    <t>AMT Items</t>
  </si>
  <si>
    <t>17a</t>
  </si>
  <si>
    <t>Depreciation adjustment on property placed in service after 1986</t>
  </si>
  <si>
    <t>Adjusted gain or loss</t>
  </si>
  <si>
    <t>Depletion (other than oil and gas)</t>
  </si>
  <si>
    <t>Gross income from , oil, gas, and geothermal properties</t>
  </si>
  <si>
    <t>Deductions allocable to oil, gas, and geothermal properties</t>
  </si>
  <si>
    <t>Ohter adjustments and tax preference items (attach schedule)</t>
  </si>
  <si>
    <t>18a</t>
  </si>
  <si>
    <t>Tax-exempt interest income</t>
  </si>
  <si>
    <t>Other tax-exempt income</t>
  </si>
  <si>
    <t>Nondeductible expenses</t>
  </si>
  <si>
    <t>19a</t>
  </si>
  <si>
    <t>Distributions of money (cash and marketable securities)</t>
  </si>
  <si>
    <t>Distributions of property other than money</t>
  </si>
  <si>
    <t>20a</t>
  </si>
  <si>
    <t>Investment Income</t>
  </si>
  <si>
    <t>Investment expenses</t>
  </si>
  <si>
    <t>Other items and amounts (attach schedule)</t>
  </si>
  <si>
    <t>BALANCE SHEET - SCHEDULE F</t>
  </si>
  <si>
    <t>Spot Rate @ PY End</t>
  </si>
  <si>
    <t>Spot Rate @ CY End</t>
  </si>
  <si>
    <t>Assets</t>
  </si>
  <si>
    <t>(a)                       Beginning of annual accounting period  (LC)</t>
  </si>
  <si>
    <t>(b)                                End of annual accounting period  (LC)</t>
  </si>
  <si>
    <t>(a)                       Beginning of annual accounting period (USD)</t>
  </si>
  <si>
    <t>(b)                                   End of annual accounting period (USD)</t>
  </si>
  <si>
    <t>Cash</t>
  </si>
  <si>
    <t>2 a</t>
  </si>
  <si>
    <t>Trade notes and accounts receivable</t>
  </si>
  <si>
    <t xml:space="preserve">   b</t>
  </si>
  <si>
    <t>Less allowance for bad debts</t>
  </si>
  <si>
    <t>Derivatives</t>
  </si>
  <si>
    <t>Inventories</t>
  </si>
  <si>
    <t>Other current assets (attach schedule)</t>
  </si>
  <si>
    <t>Other current asset 2</t>
  </si>
  <si>
    <t>Other current asset 3</t>
  </si>
  <si>
    <t>Loans to shareholders and other related persons</t>
  </si>
  <si>
    <t>Investment in subsidiaries</t>
  </si>
  <si>
    <t>Investment in subsidiary 1</t>
  </si>
  <si>
    <t>Investment in subsidiary 2</t>
  </si>
  <si>
    <t>Investment in subsidiary 3</t>
  </si>
  <si>
    <t>Other investments (attach schedule)</t>
  </si>
  <si>
    <t>Other Investment 1</t>
  </si>
  <si>
    <t>Other Investment 2</t>
  </si>
  <si>
    <t>Other Investment 3</t>
  </si>
  <si>
    <t>Buildings and other depreciable assets</t>
  </si>
  <si>
    <t>Less accumulated depreciation (Enter as Negative)</t>
  </si>
  <si>
    <t>10a</t>
  </si>
  <si>
    <t>Depletable assets</t>
  </si>
  <si>
    <t>Less accumulated depletion (Enter as Negative)</t>
  </si>
  <si>
    <t>Land (net of any amortization)</t>
  </si>
  <si>
    <t>Intangible assets</t>
  </si>
  <si>
    <t>Goodwill</t>
  </si>
  <si>
    <t>Organization costs</t>
  </si>
  <si>
    <t>Patents, trademarks, and other intangible assets</t>
  </si>
  <si>
    <t>Less accumulated amortization   (Enter as negative)</t>
  </si>
  <si>
    <t>Other assets (attach schedule)</t>
  </si>
  <si>
    <t>Other asset 1</t>
  </si>
  <si>
    <t>Other asset 2</t>
  </si>
  <si>
    <t>Other asset 3</t>
  </si>
  <si>
    <t>Total assets</t>
  </si>
  <si>
    <t>Liabilities and Stockholders' Equity</t>
  </si>
  <si>
    <t>Accounts payable</t>
  </si>
  <si>
    <t>Other current liabilities (attach schedule)</t>
  </si>
  <si>
    <t>Other current liability 2</t>
  </si>
  <si>
    <t>Other current liability 3</t>
  </si>
  <si>
    <t>Loans from shareholders and other related persons</t>
  </si>
  <si>
    <t>Other liabilities (attach schedule)</t>
  </si>
  <si>
    <t>Other liability 3</t>
  </si>
  <si>
    <t>Capital Stock</t>
  </si>
  <si>
    <t>Preferred stock</t>
  </si>
  <si>
    <t>Common stock</t>
  </si>
  <si>
    <t>Paid-in or capital surplus</t>
  </si>
  <si>
    <t xml:space="preserve">Retained earnings </t>
  </si>
  <si>
    <t>Next Tab</t>
  </si>
  <si>
    <t>Less cost of treasury stock</t>
  </si>
  <si>
    <t>Total liabilities and capital</t>
  </si>
  <si>
    <t>FC</t>
  </si>
  <si>
    <t>USD</t>
  </si>
  <si>
    <t>Ref</t>
  </si>
  <si>
    <t xml:space="preserve">Date </t>
  </si>
  <si>
    <t>£ Amount</t>
  </si>
  <si>
    <t>FX Rate</t>
  </si>
  <si>
    <t>$ Amount</t>
  </si>
  <si>
    <t>00/00/00</t>
  </si>
  <si>
    <t>951A</t>
  </si>
  <si>
    <t xml:space="preserve">TAXES PAID, ACCRUED OR DEEMED PAID </t>
  </si>
  <si>
    <t>FB - Foreign Branch</t>
  </si>
  <si>
    <t>PAS - Passive</t>
  </si>
  <si>
    <t>(Amounts in Local Currency)</t>
  </si>
  <si>
    <t>901j</t>
  </si>
  <si>
    <t>RBT - Re-sourced by Treaty</t>
  </si>
  <si>
    <t>GEN - General</t>
  </si>
  <si>
    <t>Income Category Code:</t>
  </si>
  <si>
    <t>Schedule E</t>
  </si>
  <si>
    <t>Part I- Taxes for Which a Foreign Tax Credit is Allowed</t>
  </si>
  <si>
    <t>Section 1 - Taxes paid or accrued directly by foreign corporations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</si>
  <si>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</si>
  <si>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</si>
  <si>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</si>
  <si>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</si>
  <si>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</si>
  <si>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</si>
  <si>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</si>
  <si>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</si>
  <si>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</si>
  <si>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</si>
  <si>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Name of Payor Entity</t>
  </si>
  <si>
    <t>EIN or Ref ID</t>
  </si>
  <si>
    <t>Country to which tax is paid</t>
  </si>
  <si>
    <t>Foreign tax year to which tax relates</t>
  </si>
  <si>
    <t>US tax year to which tax relates</t>
  </si>
  <si>
    <t>Income subject to tax in foreign jurisdiction</t>
  </si>
  <si>
    <t>Tax Paid or Incured (Local CC)</t>
  </si>
  <si>
    <t>FX rate to USD</t>
  </si>
  <si>
    <t>USD Amount</t>
  </si>
  <si>
    <t>Amount in Functional Currency of Entity</t>
  </si>
  <si>
    <t>Total USD Tax</t>
  </si>
  <si>
    <t>Total Functional Currency Tax</t>
  </si>
  <si>
    <t>Ties to Schedule E-1?</t>
  </si>
  <si>
    <t>Section 2 - Taxes deemed paid</t>
  </si>
  <si>
    <t>PTEP Group (code)</t>
  </si>
  <si>
    <t>Annual PTEP account (year)</t>
  </si>
  <si>
    <t>PTEP distributed (Local CC)</t>
  </si>
  <si>
    <t>Total amount of PTEP in the PTEP Group (Local CC)</t>
  </si>
  <si>
    <t>Total amount of PTEP Group Taxes with respect to PTEP Group (USD)</t>
  </si>
  <si>
    <t>Foreign income taxes properly attributable to PTEP and not previously deeemed paid</t>
  </si>
  <si>
    <t xml:space="preserve">Total </t>
  </si>
  <si>
    <t>Report on E-1, line 6</t>
  </si>
  <si>
    <t>Part III - Taxes for Which a Foreign Tax Credit is Disallowed</t>
  </si>
  <si>
    <t>Section 901(j)</t>
  </si>
  <si>
    <t>Section 901(k) and (l)</t>
  </si>
  <si>
    <t>Section 901(m)</t>
  </si>
  <si>
    <t>US Taxes</t>
  </si>
  <si>
    <t>Taxes Related to Sec 959(c)(3) E&amp;P</t>
  </si>
  <si>
    <t>Functional Currency Amount</t>
  </si>
  <si>
    <t>US Dollars Amount at wtd avg FX</t>
  </si>
  <si>
    <t>Schedule E-1</t>
  </si>
  <si>
    <t>Taxes Paid, Accrued, or Deemed Paid on Accumulated E&amp;P fo Foreign Corporation</t>
  </si>
  <si>
    <t>(e) Previously Taxed E&amp;P (section 959(c)(1)(A))</t>
  </si>
  <si>
    <t>(e) Previously Taxed E&amp;P (reclassed) (section 959(c)(2))</t>
  </si>
  <si>
    <t>Current E&amp;P</t>
  </si>
  <si>
    <t>Post-1986 Undistributed Earnings</t>
  </si>
  <si>
    <t>Pre-1987 E&amp;P Not Previously Taxed</t>
  </si>
  <si>
    <t>Hovering Deficit and Deduction for Suspended Taxes</t>
  </si>
  <si>
    <t>(i)
Section 965(a) 
"DFIC income"</t>
  </si>
  <si>
    <t>(ii)
Section 965(b)
"DFIC Deficit"</t>
  </si>
  <si>
    <t xml:space="preserve">(iii)
General section 959(c)(1) </t>
  </si>
  <si>
    <t>(iv)
Section 951A Inclusion
"GILTI"</t>
  </si>
  <si>
    <t>(v)
Section 245A(d)  Inclusion
"Hybrid Dividends"</t>
  </si>
  <si>
    <t>(vi)
Section 965(a) Inclusion
"DFIC Income"</t>
  </si>
  <si>
    <t>(vii)
Section 965(b)(4)(A)
"DFIC Deficit"</t>
  </si>
  <si>
    <t>(viii)
Section 951A Inclusion
"GILTI"</t>
  </si>
  <si>
    <t>(ix)
Section 245A(d) Inclusion
"Hybrid Dividends"</t>
  </si>
  <si>
    <t>(x)
Section 951(a)(1)(A)) Inclusion
"Subpart F"</t>
  </si>
  <si>
    <t>Balance at beginning of year</t>
  </si>
  <si>
    <t>Beginning balance adjustments</t>
  </si>
  <si>
    <t>Beginning balance adjustment 1</t>
  </si>
  <si>
    <t>Beginning balance adjustment 2</t>
  </si>
  <si>
    <t>Beginning balance adjustment 3</t>
  </si>
  <si>
    <t>Adjusted beginning balance</t>
  </si>
  <si>
    <t xml:space="preserve">Adjustment for redetermination of prior year US Tax </t>
  </si>
  <si>
    <t>Taxes unsuspended under anti-splitter rules</t>
  </si>
  <si>
    <t>Taxes suspended under anti-splitter rules</t>
  </si>
  <si>
    <t>Taxes reported on Schedule E line 8</t>
  </si>
  <si>
    <t>5a</t>
  </si>
  <si>
    <t>Taxes carried over in nonrecognition transactions</t>
  </si>
  <si>
    <t>Taxes reclassified as related to hovering deficit after nonrecognition transaction</t>
  </si>
  <si>
    <t>Taxes reported on Schedule E, Part I, Section 2, line 5, column (i)</t>
  </si>
  <si>
    <t>Other pre-tax adjustments</t>
  </si>
  <si>
    <t>Other adjustment 1</t>
  </si>
  <si>
    <t>Other adjustment 2</t>
  </si>
  <si>
    <t>Other adjustment 3</t>
  </si>
  <si>
    <t>Taxes paid or accrued on accumulated E&amp;P</t>
  </si>
  <si>
    <t>Taxes deemed paid with respect to 951(a)(1) inclusions</t>
  </si>
  <si>
    <t>Taxes deemed paid with respect to 951A</t>
  </si>
  <si>
    <t>Taxes deemed paid with respect to actual distributions</t>
  </si>
  <si>
    <t>Taxes on amounts reclassified to 959(c)(1) from 959 (c)(2)</t>
  </si>
  <si>
    <t>Taxes related to hovering deficit offset of undistributed E&amp;P</t>
  </si>
  <si>
    <t xml:space="preserve">Balance of taxes paid or accrued </t>
  </si>
  <si>
    <t>Reduction for tested income taxes not deemed paid</t>
  </si>
  <si>
    <t>Reduction for other taxes not deemed paid</t>
  </si>
  <si>
    <t>Balance at beginning of next year</t>
  </si>
  <si>
    <t>CURRENT YEAR E&amp;P SCHEDULE H</t>
  </si>
  <si>
    <t>Current year net income per foreign books</t>
  </si>
  <si>
    <t>Net adjustments to Line 1 to determine current</t>
  </si>
  <si>
    <t>Net Additions</t>
  </si>
  <si>
    <t>Net Subtractions</t>
  </si>
  <si>
    <t>E&amp;P for US GAAP and tax</t>
  </si>
  <si>
    <t>Capital gains or losses</t>
  </si>
  <si>
    <t>Depreciation and amortization (SL ACE)</t>
  </si>
  <si>
    <t>Investment or incentive allowance</t>
  </si>
  <si>
    <t>Charges to statutory reserves</t>
  </si>
  <si>
    <t>Inventory adjustments</t>
  </si>
  <si>
    <t xml:space="preserve">Income Taxes </t>
  </si>
  <si>
    <t>Foreign currency gains or losses</t>
  </si>
  <si>
    <t>i</t>
  </si>
  <si>
    <t>Total net additions</t>
  </si>
  <si>
    <t>Total net subtractions</t>
  </si>
  <si>
    <t>Current E&amp;P (lines 1 plus 3 minus 4)</t>
  </si>
  <si>
    <t>DASTM gain or (loss)</t>
  </si>
  <si>
    <t>Combine 5a and 5b</t>
  </si>
  <si>
    <t>c(i)</t>
  </si>
  <si>
    <t>General category</t>
  </si>
  <si>
    <t>c(ii)</t>
  </si>
  <si>
    <t>Passive category</t>
  </si>
  <si>
    <t>c(iii)</t>
  </si>
  <si>
    <t>Section 901(j) category</t>
  </si>
  <si>
    <t>Current E&amp;P in US$</t>
  </si>
  <si>
    <t>Weighted average exchange rate used on 5d</t>
  </si>
  <si>
    <t>SUMMARY OF FOREIGN INCOME AND GILTI - SCHEDULE I</t>
  </si>
  <si>
    <t>Schedule I - Summary of Shareholder's Income from Foreign Corporation</t>
  </si>
  <si>
    <t>Section 964(e)(4) Subpart F dividend income from the sale of stock of a lower-tier foreign corporation</t>
  </si>
  <si>
    <t>Section 245A(e)(2) Subpart F income from hybrid dividends of tiered corporations</t>
  </si>
  <si>
    <t>Subpart F income  from tiered extraordinary disposition amounts not eligible for Subpart F exception under section 954(c)(6)</t>
  </si>
  <si>
    <t>Subpart F income  from tiered extraordinary reduction amounts not eligible for Subpart F exception under section 954(c)(6)</t>
  </si>
  <si>
    <t>Section 954(c) Subpart F FPHCI income from Worksheet A</t>
  </si>
  <si>
    <t>Section 954(d) Subpart F Foreign Base Sales income from Worksheet A</t>
  </si>
  <si>
    <t>Section 954(e) Subpart F Foreign Base Servcies income from Worksheet A</t>
  </si>
  <si>
    <t>Other subpart F Income</t>
  </si>
  <si>
    <t>Earnings invested in US property from Worksheet B</t>
  </si>
  <si>
    <t>Reserved for future use</t>
  </si>
  <si>
    <t>Factoring Income</t>
  </si>
  <si>
    <t xml:space="preserve">Section 245A eligible dividends </t>
  </si>
  <si>
    <t>5b</t>
  </si>
  <si>
    <t>Extaordinary disposition amounts</t>
  </si>
  <si>
    <t>5c</t>
  </si>
  <si>
    <t>Extaordinary reduction amounts</t>
  </si>
  <si>
    <t>5d</t>
  </si>
  <si>
    <t>Section 245(A)(e) dividends</t>
  </si>
  <si>
    <t>5e</t>
  </si>
  <si>
    <t>Dividends not reported on line 5a, 5b, 5c, or 5d</t>
  </si>
  <si>
    <t>Exchange gain or (loss) on a distribution of previously taxed income</t>
  </si>
  <si>
    <t>Schedule I-1 - Information for Global Intangible Low-Taxed Income</t>
  </si>
  <si>
    <t>Gross Income</t>
  </si>
  <si>
    <t>Exclusions</t>
  </si>
  <si>
    <t>Effectively connected income</t>
  </si>
  <si>
    <t>Subpart F income</t>
  </si>
  <si>
    <t>High-tax exception income</t>
  </si>
  <si>
    <t>Related party dividends</t>
  </si>
  <si>
    <t>Foreign oil and gas extraction income</t>
  </si>
  <si>
    <t>Total exclusions</t>
  </si>
  <si>
    <t>ETR</t>
  </si>
  <si>
    <t>Gross income less total exclusions</t>
  </si>
  <si>
    <t>Can make GILTI High Tax Exception as if this is greater than 18.9% (for proof, you need to remove the exclusion amount, if necessary).</t>
  </si>
  <si>
    <t>Deductions properly allocable to line 4</t>
  </si>
  <si>
    <t>Tested income (loss)</t>
  </si>
  <si>
    <t>Tested foreign income taxes</t>
  </si>
  <si>
    <t>Qualified business asset investment (QBAI)</t>
  </si>
  <si>
    <t>Interest expense (included on line 5)</t>
  </si>
  <si>
    <t>Qualified interest Expense</t>
  </si>
  <si>
    <t>Tested QBAI Amount</t>
  </si>
  <si>
    <t>Tested Interest Expense (Line 9a minus (9B + 9C). Enter Zero if &lt; 0)</t>
  </si>
  <si>
    <t>Interest Income Included in Line 4</t>
  </si>
  <si>
    <t>Qualified Interest Income</t>
  </si>
  <si>
    <t>Tested Interest Income (Line 10a minus line 10b. Enter Zero if &lt; 0)</t>
  </si>
  <si>
    <t>ACCUMULATED E&amp;P SCHEDULE J</t>
  </si>
  <si>
    <t>look up</t>
  </si>
  <si>
    <t>Part I - Accumulated E&amp;P of Controlled Foreign Corporation</t>
  </si>
  <si>
    <t>Post-2017 E&amp;P Not Previously Taxed</t>
  </si>
  <si>
    <t>(i)
Section 965(a)
"DFIC income"</t>
  </si>
  <si>
    <t>(ii)
Section 965(b) 
"DFIC Deficit"</t>
  </si>
  <si>
    <t>Total E&amp;P</t>
  </si>
  <si>
    <t>1b</t>
  </si>
  <si>
    <t>1c</t>
  </si>
  <si>
    <t>2a</t>
  </si>
  <si>
    <t>Reduction for taxes unsuspended under anti-splitter rules</t>
  </si>
  <si>
    <t>2b</t>
  </si>
  <si>
    <t>Disallowed deduction for taxes suspended under anti-splitter rules</t>
  </si>
  <si>
    <t>Current year E&amp;P (or deficit)</t>
  </si>
  <si>
    <t xml:space="preserve">E&amp;P attributable to distributions of PTEP from lower-tier </t>
  </si>
  <si>
    <t>E&amp;P carried over in nonrecognition transaction</t>
  </si>
  <si>
    <t>Reclassify deficit in E&amp;P as hovering deficit after nonrecognition transaction</t>
  </si>
  <si>
    <t>Other pre-distribution &amp; inclusion adjustments</t>
  </si>
  <si>
    <t>Total current and accumulated E&amp;P</t>
  </si>
  <si>
    <t>Amounts reclasified to 959(c)(2) from 959(c)(3) E&amp;P</t>
  </si>
  <si>
    <t>Actual distributions</t>
  </si>
  <si>
    <t>Amounts reclasified to 959(c)(1) from 959(c)(2) E&amp;P</t>
  </si>
  <si>
    <t>Amounts included as earnings invested in US property and reclassified to 959(c)(1) E&amp;P</t>
  </si>
  <si>
    <t>Other adjustments</t>
  </si>
  <si>
    <t>Hovering deficit offset of undistributed posttransaction E&amp;P</t>
  </si>
  <si>
    <t>Part II - Nonpreviously Taxed E&amp;P Subject to Recapture as Subpart F Income</t>
  </si>
  <si>
    <t>Additions (amounts subject to future recapture)</t>
  </si>
  <si>
    <t>Subtractions (amounts recaptured in current year)</t>
  </si>
  <si>
    <t>Balance at end of year</t>
  </si>
  <si>
    <t>TRANSACTIONS BETWEEN CFC AND RELATED PERSONS - SCHEDULE M</t>
  </si>
  <si>
    <t>Transactions of foreign corporation</t>
  </si>
  <si>
    <t>US person filing this return</t>
  </si>
  <si>
    <t>US entity controlled by US person filing this return</t>
  </si>
  <si>
    <t>Foreign entity controlled by US person filing this return</t>
  </si>
  <si>
    <t>10% US shareholder of CFC</t>
  </si>
  <si>
    <t>10% US shareholder of any corporate shareholder</t>
  </si>
  <si>
    <t>Sales of stock in trade</t>
  </si>
  <si>
    <t>Sales of tangible property other than stock in trade</t>
  </si>
  <si>
    <t>Sales of property rights</t>
  </si>
  <si>
    <t>Platform contribution transaction payments received</t>
  </si>
  <si>
    <t>Cost sharing transaction payments received</t>
  </si>
  <si>
    <t>Compensation received for technical, managerial, engineering, construction</t>
  </si>
  <si>
    <t>Commissions received</t>
  </si>
  <si>
    <t>Rents, royalties, and license fees received</t>
  </si>
  <si>
    <t>Hybrid dividends received</t>
  </si>
  <si>
    <t>Dividends received</t>
  </si>
  <si>
    <t>Interest received</t>
  </si>
  <si>
    <t>Premiums received for insurance or reinsurance</t>
  </si>
  <si>
    <t>Purchases of stock in trade</t>
  </si>
  <si>
    <t>Purchases of tangible property other than stock in trade</t>
  </si>
  <si>
    <t>Purchases of property rights</t>
  </si>
  <si>
    <t>Platform contribution transaction payments paid</t>
  </si>
  <si>
    <t>Cost sharing transaction payments paid</t>
  </si>
  <si>
    <t>Compensation paid for technical, managerial, engineering, construction</t>
  </si>
  <si>
    <t>Commissions paid</t>
  </si>
  <si>
    <t>Rents, royalties, and license fees paid</t>
  </si>
  <si>
    <t>Hybrid dividends paid</t>
  </si>
  <si>
    <t>Dividends paid</t>
  </si>
  <si>
    <t>Interest paid</t>
  </si>
  <si>
    <t>Premiums paid for insurance or reinsurance</t>
  </si>
  <si>
    <t>Accounts Payable</t>
  </si>
  <si>
    <t>Amounts borrowed (max balance during year)</t>
  </si>
  <si>
    <t>Accounts Receivable</t>
  </si>
  <si>
    <t>Amounts loaned (max balance during year)</t>
  </si>
  <si>
    <t>PREVIOUSLY TAXED E&amp;P - SCHEDULE P</t>
  </si>
  <si>
    <t>TP Ownership %</t>
  </si>
  <si>
    <t>(e) Previously Taxed E&amp;P (section 959(c)(2)(A))</t>
  </si>
  <si>
    <t>(q)</t>
  </si>
  <si>
    <t>USD Currency</t>
  </si>
  <si>
    <t>Weighed Avarege Exchange Rate:</t>
  </si>
  <si>
    <t>D-50</t>
  </si>
  <si>
    <t>CFC Income by CFC Income Groups - SCHEDULE Q</t>
  </si>
  <si>
    <t>Enter amounts in functional currency of the foreign corporation</t>
  </si>
  <si>
    <t>(i) Country code</t>
  </si>
  <si>
    <t>(ii) Gross income</t>
  </si>
  <si>
    <t>(iii) Definitely related expenses</t>
  </si>
  <si>
    <t>(iv) Related person interest expense</t>
  </si>
  <si>
    <t>(v) Other interest expense</t>
  </si>
  <si>
    <t>(vi) Research &amp; experimental expenses</t>
  </si>
  <si>
    <t>(vii) Other expenses (attach schedule)</t>
  </si>
  <si>
    <t>(viii) Current year tax on reattribution income from disregarded payments</t>
  </si>
  <si>
    <t>(ix) Current year tax on all other disregarded payments</t>
  </si>
  <si>
    <t>(x) Other current year taxes</t>
  </si>
  <si>
    <t>(xi) Net income</t>
  </si>
  <si>
    <t>(xii) Foreign taxes for which credit allowed (USD)</t>
  </si>
  <si>
    <t>(xiii) Average asset value</t>
  </si>
  <si>
    <t>(xiv) high tax election</t>
  </si>
  <si>
    <t>Subpart F Income Groups</t>
  </si>
  <si>
    <t>Dividends, interest, rents, royalties &amp; annuities (total)</t>
  </si>
  <si>
    <t>Unit name 1</t>
  </si>
  <si>
    <t>Unit name 2</t>
  </si>
  <si>
    <t>Unit name 3</t>
  </si>
  <si>
    <t>Net gain from certain property transactions (total)</t>
  </si>
  <si>
    <t>Net gain from commodities transactions (total)</t>
  </si>
  <si>
    <t>1d</t>
  </si>
  <si>
    <t>Net foreign currency gain (total)</t>
  </si>
  <si>
    <t>1e</t>
  </si>
  <si>
    <t>Income equivalent to interest (total)</t>
  </si>
  <si>
    <t>1f</t>
  </si>
  <si>
    <t>Foreign base company sales income (total)</t>
  </si>
  <si>
    <t>1g</t>
  </si>
  <si>
    <t>Foreign base company services income (total)</t>
  </si>
  <si>
    <t>1h</t>
  </si>
  <si>
    <t>Full inclusion foreign base company income (total)</t>
  </si>
  <si>
    <t>1i</t>
  </si>
  <si>
    <t>Insurance inocme</t>
  </si>
  <si>
    <t>1j</t>
  </si>
  <si>
    <t>International boycott income</t>
  </si>
  <si>
    <t>1k</t>
  </si>
  <si>
    <t>Bribes, kickbacks, and other payments</t>
  </si>
  <si>
    <t>1l</t>
  </si>
  <si>
    <t>Section 901(j) income</t>
  </si>
  <si>
    <t>Recaptured Subpart F income</t>
  </si>
  <si>
    <t>Tested income group (total)</t>
  </si>
  <si>
    <t>Residual income group (total)</t>
  </si>
  <si>
    <t>DISTRIBUTIONS FROM A FOREIGN CORPORATION - SCHEDULE R</t>
  </si>
  <si>
    <t>(a) Description of distributions</t>
  </si>
  <si>
    <t>Date of distributions</t>
  </si>
  <si>
    <t>Amount of distribution in foreign corporation's functional currency</t>
  </si>
  <si>
    <t>Amount of E&amp;P  in foreign corporation's functional currency</t>
  </si>
  <si>
    <t>WORKSHEET A</t>
  </si>
  <si>
    <t>Worksheet A - Summary of US Shareholder's Pro-Rata Share of Subpart F</t>
  </si>
  <si>
    <t>Gross foreign personal holding company income</t>
  </si>
  <si>
    <t>Dividends, interest, royalties, rents and annuities</t>
  </si>
  <si>
    <t>Excess of gains over losses from property transactions</t>
  </si>
  <si>
    <t>Excess of gains over losses from commodity transactions</t>
  </si>
  <si>
    <t>Excess of foreign currency gains over foreign currency losses</t>
  </si>
  <si>
    <t>Non-interest income equivalent to interest</t>
  </si>
  <si>
    <t>Net income from a notional principal contract</t>
  </si>
  <si>
    <t>Payments in lieu of dividends</t>
  </si>
  <si>
    <t>Certain amounts received from personal service contracts</t>
  </si>
  <si>
    <t>Certain amounts from sales of partnership interests</t>
  </si>
  <si>
    <t>Gross foreign base company sales income</t>
  </si>
  <si>
    <t>Gross foreign base company services income</t>
  </si>
  <si>
    <t>Gross foreign base company income</t>
  </si>
  <si>
    <t>Gross insurance income</t>
  </si>
  <si>
    <t>Gross foreign base company income and gross insurance income</t>
  </si>
  <si>
    <t>5% of total gross income</t>
  </si>
  <si>
    <t>9</t>
  </si>
  <si>
    <t>70% of total gross income</t>
  </si>
  <si>
    <t>10</t>
  </si>
  <si>
    <t>De minimis exceeded?</t>
  </si>
  <si>
    <t>11</t>
  </si>
  <si>
    <t>Full inclusion check</t>
  </si>
  <si>
    <t>12</t>
  </si>
  <si>
    <t>Total adjusted gross foreign base company income and insurance income</t>
  </si>
  <si>
    <t>13</t>
  </si>
  <si>
    <t>Adjusted net foreign personal holding company income</t>
  </si>
  <si>
    <t>Expenses directly related to gross foreign personal holding company income</t>
  </si>
  <si>
    <t>Tentative net FPHCI</t>
  </si>
  <si>
    <t>Related person interest expense</t>
  </si>
  <si>
    <t>Other expenses allocated and apportioned to gross FPHCI under 954(b)(5)</t>
  </si>
  <si>
    <t>Net foreign personal holding company income</t>
  </si>
  <si>
    <t>Net foreign personal holding company income excluded under high-tax exception</t>
  </si>
  <si>
    <t>Net FPHCI excl high-tax exception income</t>
  </si>
  <si>
    <t>14</t>
  </si>
  <si>
    <t>Adjusted net foreign base company sales income</t>
  </si>
  <si>
    <t>Expenses directly related to gross foreign base company sales income</t>
  </si>
  <si>
    <t>Tentative net foreign base company sales income</t>
  </si>
  <si>
    <t>Net foreign base company sales income excluded under high-tax exception</t>
  </si>
  <si>
    <t>Net foreign base company sales income</t>
  </si>
  <si>
    <t>15</t>
  </si>
  <si>
    <t>Adjusted net foreign base company services income</t>
  </si>
  <si>
    <t>Expenses directly related to gross foreign base company services income</t>
  </si>
  <si>
    <t>Tentative net foreign base company services income</t>
  </si>
  <si>
    <t>Net foreign base company services income excluded under high-tax exception</t>
  </si>
  <si>
    <t>Net foreign base company services income</t>
  </si>
  <si>
    <t>16</t>
  </si>
  <si>
    <t>Adjusted net full inclusion foreign base company income</t>
  </si>
  <si>
    <t>Excess of full inclusion income over gross FBCI and insurance income</t>
  </si>
  <si>
    <t>Expenses allocated and apportioned under 954(b)(5)</t>
  </si>
  <si>
    <t>Tentative net full inclusion foreign base company income</t>
  </si>
  <si>
    <t>Net full inclusion foreign base company income excluded under high-tax exception</t>
  </si>
  <si>
    <t>Net full inclusion foreign base company income</t>
  </si>
  <si>
    <t>17</t>
  </si>
  <si>
    <t>Adjusted net foreign base company income</t>
  </si>
  <si>
    <t>18</t>
  </si>
  <si>
    <t>Adjusted net insurance income</t>
  </si>
  <si>
    <t>Gross insurance income excl related party insurance income</t>
  </si>
  <si>
    <t>Expenses allocated to gross insurance income</t>
  </si>
  <si>
    <t>Tentative net insurance income</t>
  </si>
  <si>
    <t>Net insurance income excluded under high-tax exception</t>
  </si>
  <si>
    <t>Net insurance income</t>
  </si>
  <si>
    <t>19</t>
  </si>
  <si>
    <t>Adjusted net related person insurance income</t>
  </si>
  <si>
    <t>Related person insurance income</t>
  </si>
  <si>
    <t>Expenses allocated to related person insurance income</t>
  </si>
  <si>
    <t>Tentative net related person insurance income</t>
  </si>
  <si>
    <t>Net related person insurance income excluded under high-tax exception</t>
  </si>
  <si>
    <t>Net related person insurance income</t>
  </si>
  <si>
    <t>20</t>
  </si>
  <si>
    <t>21</t>
  </si>
  <si>
    <t>Illegal bribes, kickbacks and other payments</t>
  </si>
  <si>
    <t>22</t>
  </si>
  <si>
    <t>Income disallowed under 901(j)</t>
  </si>
  <si>
    <t>23</t>
  </si>
  <si>
    <t>Subpart F income before application of 952(b), (c), and 959(b)</t>
  </si>
  <si>
    <t>24</t>
  </si>
  <si>
    <t>Portion of line 23 that is ECI</t>
  </si>
  <si>
    <t>25</t>
  </si>
  <si>
    <t>Exclusions under 959(b)</t>
  </si>
  <si>
    <t>26</t>
  </si>
  <si>
    <t>Total Subpart F income</t>
  </si>
  <si>
    <t>27</t>
  </si>
  <si>
    <t>Current E&amp;P limitation computation</t>
  </si>
  <si>
    <t>Tested loss</t>
  </si>
  <si>
    <t>Total current E&amp;P limitation</t>
  </si>
  <si>
    <t>28</t>
  </si>
  <si>
    <t>Subpart F subject to E&amp;P limitation</t>
  </si>
  <si>
    <t>29</t>
  </si>
  <si>
    <t>Shareholder's pro-rata share of line 28</t>
  </si>
  <si>
    <t>30</t>
  </si>
  <si>
    <t>Shareholder's pro-rata share of export trade income</t>
  </si>
  <si>
    <t>31</t>
  </si>
  <si>
    <t>Shareholder's pro-rata Subpart F,  less export trade income</t>
  </si>
  <si>
    <t>32</t>
  </si>
  <si>
    <t>CFC annualised line 31</t>
  </si>
  <si>
    <t>33</t>
  </si>
  <si>
    <t>Dividends paid to any person other than filer during year</t>
  </si>
  <si>
    <t>34</t>
  </si>
  <si>
    <t>Filer annualised line 31</t>
  </si>
  <si>
    <t>35</t>
  </si>
  <si>
    <t>Lesser of line 33 and 34</t>
  </si>
  <si>
    <t>36a</t>
  </si>
  <si>
    <t>Shareholder's pro-rata share of Subpart F income - FC</t>
  </si>
  <si>
    <t>Shareholder's pro-rata share of Subpart F income - USD</t>
  </si>
  <si>
    <t>WORKSHEET B</t>
  </si>
  <si>
    <t>Worksheet B - US Shareholder's Pro-Rata Share of Earnings of a CFC Invested in US Property</t>
  </si>
  <si>
    <t>Amount of US property held by CFC as of the close of:</t>
  </si>
  <si>
    <t>First quarter of tax year</t>
  </si>
  <si>
    <t>Second quarter of tax year</t>
  </si>
  <si>
    <t>Third quarter of tax year</t>
  </si>
  <si>
    <t>Fourth quarter of tax year</t>
  </si>
  <si>
    <t>Number of quarter-ends the foreign corporation was a CFC during the tax year</t>
  </si>
  <si>
    <t>Average amount of US property held as of the close of each quarter</t>
  </si>
  <si>
    <t>US Shareholder's pro-rata share of US property</t>
  </si>
  <si>
    <t>E&amp;P described in 959(c)(1)(A) with respect to US shareholder after distributions</t>
  </si>
  <si>
    <t>Section 956(a)(1) amount</t>
  </si>
  <si>
    <t>Applicable earnings</t>
  </si>
  <si>
    <t>Current year E&amp;P</t>
  </si>
  <si>
    <t>Accumulated E&amp;P at EOY</t>
  </si>
  <si>
    <t>Greater of 7a or 7b</t>
  </si>
  <si>
    <t>Distributions made by CFC during the year</t>
  </si>
  <si>
    <t>Line 8 less line 9</t>
  </si>
  <si>
    <t>Earnings and Profits described in 959(c)(1)</t>
  </si>
  <si>
    <t>Section 956(a)(2) amount</t>
  </si>
  <si>
    <t>Section 956(a) amount</t>
  </si>
  <si>
    <t>Amount of E&amp;P described in 959(a)(2) with respect to US shareholder</t>
  </si>
  <si>
    <t>Tentative section 956 amount</t>
  </si>
  <si>
    <t>245A deduction that the shareholder would be allowed if the shareholder received a hypothetical distribution within meaning of Reg. Sec. 1.956-1(a)(2).</t>
  </si>
  <si>
    <t>Section 956 Inclusion FC</t>
  </si>
  <si>
    <t>Section 956 Inclusion USD</t>
  </si>
  <si>
    <t>SUMMARY OF FOREIGN INCOME AND GILTI</t>
  </si>
  <si>
    <t>D-300</t>
  </si>
  <si>
    <t>Schedule A for US Shareholder Calculation of GILTI</t>
  </si>
  <si>
    <t>Shareholder ownership</t>
  </si>
  <si>
    <t>Name of CFC</t>
  </si>
  <si>
    <t>EIN</t>
  </si>
  <si>
    <t>Tested Income</t>
  </si>
  <si>
    <t>Tested Loss</t>
  </si>
  <si>
    <t>Pro-rata share of tested income</t>
  </si>
  <si>
    <t>Pro-rata share of tested loss</t>
  </si>
  <si>
    <t xml:space="preserve">Pro-rata share of 10% of QBAI </t>
  </si>
  <si>
    <t>Pro-rata share of tested interest expense</t>
  </si>
  <si>
    <t>Pro-rata share of tested interest income</t>
  </si>
  <si>
    <t>Update this section with numbers from Individual GILTI Calc</t>
  </si>
  <si>
    <t>GILTI Allocation Ratio</t>
  </si>
  <si>
    <t>GILTI Allocated to CFCS with Tested Income (8992 Part II Line 5)</t>
  </si>
  <si>
    <t>to Schedule J</t>
  </si>
  <si>
    <t>DEPRECIATION &amp; AMORTIZATION SUMMARY</t>
  </si>
  <si>
    <t>E&amp;P depreciation is calculated the same as ACE</t>
  </si>
  <si>
    <t>Depreciation for book</t>
  </si>
  <si>
    <t>Depreciation for tax</t>
  </si>
  <si>
    <t>E&amp;P adjustment</t>
  </si>
  <si>
    <t>Amortization for book</t>
  </si>
  <si>
    <t>Amortization for tax</t>
  </si>
  <si>
    <t>D-402/</t>
  </si>
  <si>
    <t>DEPRECIATION DETAIL</t>
  </si>
  <si>
    <t>Remaining Cost Basis</t>
  </si>
  <si>
    <t>Year Added</t>
  </si>
  <si>
    <t>Month Added</t>
  </si>
  <si>
    <t>Book Cost</t>
  </si>
  <si>
    <t>Asset Life</t>
  </si>
  <si>
    <t>Annual Depreciation</t>
  </si>
  <si>
    <t>Asset</t>
  </si>
  <si>
    <t>Remaining Cost Basis at beginning of year</t>
  </si>
  <si>
    <r>
      <t>Note:</t>
    </r>
    <r>
      <rPr>
        <sz val="10"/>
        <rFont val="Calibri"/>
        <family val="2"/>
      </rPr>
      <t xml:space="preserve"> 50% Depreciation is taken in initial and final year of asset life unless specific month of service is entered.</t>
    </r>
  </si>
  <si>
    <t>AMORTIZATION DETAIL</t>
  </si>
  <si>
    <t>Annual Amortization</t>
  </si>
  <si>
    <r>
      <t>Note:</t>
    </r>
    <r>
      <rPr>
        <sz val="10"/>
        <rFont val="Calibri"/>
        <family val="2"/>
      </rPr>
      <t xml:space="preserve"> 50% Amortization is taken in initial and final year of asset life unless specific month of service is entered.</t>
    </r>
  </si>
  <si>
    <t>MAINTENANCE SUPPLIES AND SMALL EQUIPMENT</t>
  </si>
  <si>
    <t>OFFICE SUPPLIES</t>
  </si>
  <si>
    <t>INSURANCE PREMIUMS</t>
  </si>
  <si>
    <t>MISCELLANEOUS-GENERAL DOCUMENTATION</t>
  </si>
  <si>
    <t>PROFESSIONNAL CONTRIBUTIONS</t>
  </si>
  <si>
    <t>DEEDS &amp; LITIGATION COSTS</t>
  </si>
  <si>
    <t>COSTS OF ACTS FOR CLIENTS</t>
  </si>
  <si>
    <t>ADVERTISING - DEEDS &amp; LITIGATION COSTS</t>
  </si>
  <si>
    <t>TRAVEL MISSIONS</t>
  </si>
  <si>
    <t>RECEPTIONS FEES</t>
  </si>
  <si>
    <t>POSTAGE COSTS</t>
  </si>
  <si>
    <t>TELEPHONE AND INTERNET EXPENSES</t>
  </si>
  <si>
    <t>BANK CHARGES</t>
  </si>
  <si>
    <t>ROUNDING</t>
  </si>
  <si>
    <t>REGISTRATION FEES STAMPS</t>
  </si>
  <si>
    <t>Prepaid expenses</t>
  </si>
  <si>
    <t>VAT Payable</t>
  </si>
  <si>
    <t>LOAN - CAISSE D'EPARGNE BANK</t>
  </si>
  <si>
    <t>LOAN- 50K EUR BPI BANK</t>
  </si>
  <si>
    <t>12/31/24</t>
  </si>
  <si>
    <t>12/31/23</t>
  </si>
  <si>
    <t>A</t>
  </si>
  <si>
    <t>B</t>
  </si>
  <si>
    <t>C</t>
  </si>
  <si>
    <t>D</t>
  </si>
  <si>
    <t>Entity 1</t>
  </si>
  <si>
    <t>Entity 2</t>
  </si>
  <si>
    <t>E3</t>
  </si>
  <si>
    <t>E4</t>
  </si>
  <si>
    <t>E5</t>
  </si>
  <si>
    <t>E6</t>
  </si>
  <si>
    <t>Pragya</t>
  </si>
  <si>
    <t>Document Upload</t>
  </si>
  <si>
    <t>Language Identify +Translate</t>
  </si>
  <si>
    <t>Currency Identify + FX Rate</t>
  </si>
  <si>
    <t>P&amp;L Mapping</t>
  </si>
  <si>
    <t>Balance Sheet Mapping</t>
  </si>
  <si>
    <t>WPs</t>
  </si>
  <si>
    <t>Category Identification</t>
  </si>
  <si>
    <t>Totals of All Entities Schedule I-1</t>
  </si>
  <si>
    <t>USD Total</t>
  </si>
  <si>
    <t>Taxpayer/Business Name</t>
  </si>
  <si>
    <t>Entity Type</t>
  </si>
  <si>
    <t>1040/1120</t>
  </si>
  <si>
    <t>List of all Entities for which Form 5471 is to be prepared</t>
  </si>
  <si>
    <t>Schedules Required (Only hide not required schedules)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</si>
</sst>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000_);\(#,##0.0000\)"/>
    <numFmt numFmtId="168" formatCode="0.0000"/>
    <numFmt numFmtId="169" formatCode="_(* #,##0.0000_);_(* \(#,##0.0000\);_(* &quot;-&quot;??_);_(@_)"/>
    <numFmt numFmtId="170" formatCode="0.00000"/>
    <numFmt numFmtId="171" formatCode="_-* #,##0.00_-;\-* #,##0.00_-;_-* &quot;-&quot;????_-;_-@_-"/>
    <numFmt numFmtId="172" formatCode="#,##0.000;\-#,##0.000"/>
  </numFmts>
  <fonts count="52" x14ac:knownFonts="1">
    <font>
      <sz val="10"/>
      <name val="Arial"/>
    </font>
    <font>
      <sz val="10"/>
      <name val="Arial"/>
      <family val="2"/>
    </font>
    <font>
      <sz val="10"/>
      <name val="Book Antiqua"/>
      <family val="1"/>
    </font>
    <font>
      <sz val="11"/>
      <name val="Book Antiqua"/>
      <family val="1"/>
    </font>
    <font>
      <b/>
      <sz val="10"/>
      <name val="Arial"/>
      <family val="2"/>
    </font>
    <font>
      <b/>
      <sz val="11"/>
      <name val="Book Antiqua"/>
      <family val="1"/>
    </font>
    <font>
      <b/>
      <u/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sz val="9"/>
      <color rgb="FFFF000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2"/>
      <name val="Wingdings"/>
      <charset val="2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Wingdings"/>
      <charset val="2"/>
    </font>
    <font>
      <sz val="11"/>
      <name val="Calibri"/>
      <family val="2"/>
      <scheme val="minor"/>
    </font>
    <font>
      <b/>
      <sz val="10"/>
      <color indexed="18"/>
      <name val="Calibri"/>
      <family val="2"/>
      <scheme val="minor"/>
    </font>
    <font>
      <b/>
      <u/>
      <sz val="10"/>
      <name val="Calibri"/>
      <family val="2"/>
      <scheme val="minor"/>
    </font>
    <font>
      <u/>
      <sz val="8"/>
      <name val="Calibri"/>
      <family val="2"/>
      <scheme val="minor"/>
    </font>
    <font>
      <sz val="7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0"/>
      <color rgb="FF7030A0"/>
      <name val="Calibri"/>
      <family val="2"/>
      <scheme val="minor"/>
    </font>
    <font>
      <sz val="8"/>
      <color rgb="FFFF0000"/>
      <name val="Calibri"/>
      <family val="2"/>
      <scheme val="minor"/>
    </font>
    <font>
      <u/>
      <sz val="10"/>
      <name val="Calibri"/>
      <family val="2"/>
      <scheme val="minor"/>
    </font>
    <font>
      <sz val="10"/>
      <color theme="0"/>
      <name val="Book Antiqu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color rgb="FF00B050"/>
      <name val="Arial"/>
      <family val="2"/>
    </font>
    <font>
      <sz val="8"/>
      <color rgb="FF00B050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u/>
      <sz val="9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3499862666707357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5" fillId="0" borderId="0" applyFont="0" applyFill="0" applyBorder="0" applyAlignment="0" applyProtection="0"/>
    <xf numFmtId="43" fontId="48" fillId="0" borderId="0" applyFont="0" applyFill="0" applyBorder="0" applyAlignment="0" applyProtection="0"/>
  </cellStyleXfs>
  <cellXfs count="747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4" xfId="0" applyBorder="1"/>
    <xf numFmtId="0" fontId="3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7" fillId="0" borderId="0" xfId="0" applyFont="1" applyAlignment="1">
      <alignment horizontal="center"/>
    </xf>
    <xf numFmtId="3" fontId="0" fillId="0" borderId="0" xfId="0" applyNumberFormat="1"/>
    <xf numFmtId="37" fontId="1" fillId="0" borderId="0" xfId="0" applyNumberFormat="1" applyFont="1"/>
    <xf numFmtId="37" fontId="1" fillId="0" borderId="0" xfId="0" applyNumberFormat="1" applyFont="1" applyAlignment="1">
      <alignment horizontal="left"/>
    </xf>
    <xf numFmtId="37" fontId="4" fillId="0" borderId="0" xfId="0" applyNumberFormat="1" applyFont="1"/>
    <xf numFmtId="0" fontId="1" fillId="0" borderId="0" xfId="0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4" fillId="0" borderId="0" xfId="0" applyFont="1"/>
    <xf numFmtId="0" fontId="14" fillId="0" borderId="0" xfId="0" applyFont="1" applyAlignment="1">
      <alignment horizontal="center"/>
    </xf>
    <xf numFmtId="166" fontId="1" fillId="0" borderId="0" xfId="0" applyNumberFormat="1" applyFont="1"/>
    <xf numFmtId="14" fontId="0" fillId="0" borderId="0" xfId="0" applyNumberFormat="1"/>
    <xf numFmtId="0" fontId="0" fillId="0" borderId="9" xfId="0" applyBorder="1"/>
    <xf numFmtId="0" fontId="6" fillId="0" borderId="0" xfId="0" applyFont="1" applyAlignment="1">
      <alignment horizontal="center"/>
    </xf>
    <xf numFmtId="0" fontId="0" fillId="0" borderId="2" xfId="0" applyBorder="1"/>
    <xf numFmtId="166" fontId="0" fillId="0" borderId="2" xfId="0" applyNumberFormat="1" applyBorder="1"/>
    <xf numFmtId="0" fontId="14" fillId="0" borderId="2" xfId="0" applyFont="1" applyBorder="1"/>
    <xf numFmtId="14" fontId="1" fillId="0" borderId="0" xfId="0" applyNumberFormat="1" applyFont="1"/>
    <xf numFmtId="170" fontId="1" fillId="0" borderId="0" xfId="0" applyNumberFormat="1" applyFont="1"/>
    <xf numFmtId="0" fontId="1" fillId="0" borderId="0" xfId="0" applyFont="1" applyAlignment="1">
      <alignment horizontal="center"/>
    </xf>
    <xf numFmtId="166" fontId="1" fillId="0" borderId="0" xfId="0" applyNumberFormat="1" applyFont="1" applyAlignment="1">
      <alignment horizontal="center"/>
    </xf>
    <xf numFmtId="165" fontId="0" fillId="0" borderId="2" xfId="0" applyNumberFormat="1" applyBorder="1"/>
    <xf numFmtId="0" fontId="15" fillId="0" borderId="0" xfId="0" applyFont="1"/>
    <xf numFmtId="0" fontId="1" fillId="0" borderId="0" xfId="0" quotePrefix="1" applyFont="1" applyAlignment="1">
      <alignment horizontal="center"/>
    </xf>
    <xf numFmtId="0" fontId="24" fillId="0" borderId="0" xfId="0" applyFont="1"/>
    <xf numFmtId="0" fontId="25" fillId="0" borderId="0" xfId="0" applyFont="1"/>
    <xf numFmtId="0" fontId="18" fillId="0" borderId="0" xfId="0" applyFont="1"/>
    <xf numFmtId="0" fontId="23" fillId="0" borderId="0" xfId="0" applyFont="1"/>
    <xf numFmtId="0" fontId="23" fillId="0" borderId="9" xfId="0" applyFont="1" applyBorder="1" applyAlignment="1">
      <alignment horizontal="left"/>
    </xf>
    <xf numFmtId="0" fontId="18" fillId="0" borderId="9" xfId="0" applyFont="1" applyBorder="1"/>
    <xf numFmtId="0" fontId="20" fillId="0" borderId="0" xfId="0" applyFont="1" applyAlignment="1">
      <alignment horizontal="center"/>
    </xf>
    <xf numFmtId="37" fontId="18" fillId="0" borderId="0" xfId="0" applyNumberFormat="1" applyFont="1"/>
    <xf numFmtId="37" fontId="19" fillId="0" borderId="0" xfId="0" applyNumberFormat="1" applyFont="1" applyAlignment="1">
      <alignment horizontal="left"/>
    </xf>
    <xf numFmtId="37" fontId="21" fillId="0" borderId="0" xfId="0" applyNumberFormat="1" applyFont="1" applyAlignment="1">
      <alignment horizontal="center"/>
    </xf>
    <xf numFmtId="37" fontId="18" fillId="0" borderId="0" xfId="0" quotePrefix="1" applyNumberFormat="1" applyFont="1"/>
    <xf numFmtId="18" fontId="18" fillId="0" borderId="21" xfId="0" quotePrefix="1" applyNumberFormat="1" applyFont="1" applyBorder="1" applyAlignment="1">
      <alignment horizontal="center" vertical="center"/>
    </xf>
    <xf numFmtId="0" fontId="18" fillId="0" borderId="15" xfId="0" applyFont="1" applyBorder="1" applyAlignment="1">
      <alignment vertical="center" wrapText="1"/>
    </xf>
    <xf numFmtId="0" fontId="21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/>
    </xf>
    <xf numFmtId="0" fontId="21" fillId="0" borderId="23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right"/>
    </xf>
    <xf numFmtId="0" fontId="20" fillId="0" borderId="32" xfId="0" applyFont="1" applyBorder="1" applyAlignment="1">
      <alignment horizontal="center"/>
    </xf>
    <xf numFmtId="0" fontId="19" fillId="0" borderId="28" xfId="0" applyFont="1" applyBorder="1" applyAlignment="1">
      <alignment horizontal="right"/>
    </xf>
    <xf numFmtId="0" fontId="19" fillId="0" borderId="0" xfId="0" applyFont="1" applyAlignment="1">
      <alignment horizontal="right"/>
    </xf>
    <xf numFmtId="166" fontId="18" fillId="0" borderId="0" xfId="0" applyNumberFormat="1" applyFont="1" applyAlignment="1">
      <alignment horizontal="right"/>
    </xf>
    <xf numFmtId="166" fontId="18" fillId="4" borderId="0" xfId="0" applyNumberFormat="1" applyFont="1" applyFill="1" applyAlignment="1">
      <alignment horizontal="right"/>
    </xf>
    <xf numFmtId="166" fontId="18" fillId="0" borderId="18" xfId="0" applyNumberFormat="1" applyFont="1" applyBorder="1" applyAlignment="1">
      <alignment horizontal="right"/>
    </xf>
    <xf numFmtId="0" fontId="19" fillId="0" borderId="32" xfId="0" applyFont="1" applyBorder="1" applyAlignment="1">
      <alignment horizontal="right"/>
    </xf>
    <xf numFmtId="0" fontId="19" fillId="0" borderId="25" xfId="0" applyFont="1" applyBorder="1" applyAlignment="1">
      <alignment horizontal="right"/>
    </xf>
    <xf numFmtId="0" fontId="18" fillId="0" borderId="7" xfId="0" applyFont="1" applyBorder="1"/>
    <xf numFmtId="0" fontId="20" fillId="0" borderId="35" xfId="0" applyFont="1" applyBorder="1" applyAlignment="1">
      <alignment horizontal="center"/>
    </xf>
    <xf numFmtId="0" fontId="19" fillId="0" borderId="35" xfId="0" applyFont="1" applyBorder="1" applyAlignment="1">
      <alignment horizontal="right"/>
    </xf>
    <xf numFmtId="166" fontId="18" fillId="0" borderId="7" xfId="0" applyNumberFormat="1" applyFont="1" applyBorder="1"/>
    <xf numFmtId="0" fontId="19" fillId="0" borderId="7" xfId="0" applyFont="1" applyBorder="1" applyAlignment="1">
      <alignment horizontal="right"/>
    </xf>
    <xf numFmtId="0" fontId="19" fillId="0" borderId="4" xfId="0" applyFont="1" applyBorder="1" applyAlignment="1">
      <alignment horizontal="right"/>
    </xf>
    <xf numFmtId="0" fontId="18" fillId="0" borderId="0" xfId="0" applyFont="1" applyAlignment="1">
      <alignment wrapText="1"/>
    </xf>
    <xf numFmtId="0" fontId="20" fillId="0" borderId="32" xfId="0" applyFont="1" applyBorder="1" applyAlignment="1">
      <alignment horizontal="center" wrapText="1"/>
    </xf>
    <xf numFmtId="0" fontId="18" fillId="0" borderId="7" xfId="0" applyFont="1" applyBorder="1" applyAlignment="1">
      <alignment wrapText="1"/>
    </xf>
    <xf numFmtId="0" fontId="20" fillId="0" borderId="28" xfId="0" applyFont="1" applyBorder="1" applyAlignment="1">
      <alignment horizontal="center"/>
    </xf>
    <xf numFmtId="0" fontId="19" fillId="0" borderId="47" xfId="0" applyFont="1" applyBorder="1" applyAlignment="1">
      <alignment horizontal="right"/>
    </xf>
    <xf numFmtId="0" fontId="19" fillId="0" borderId="48" xfId="0" applyFont="1" applyBorder="1" applyAlignment="1">
      <alignment wrapText="1"/>
    </xf>
    <xf numFmtId="0" fontId="21" fillId="0" borderId="49" xfId="0" applyFont="1" applyBorder="1" applyAlignment="1">
      <alignment horizontal="center" wrapText="1"/>
    </xf>
    <xf numFmtId="0" fontId="19" fillId="0" borderId="49" xfId="0" applyFont="1" applyBorder="1" applyAlignment="1">
      <alignment horizontal="right"/>
    </xf>
    <xf numFmtId="166" fontId="19" fillId="0" borderId="31" xfId="0" applyNumberFormat="1" applyFont="1" applyBorder="1"/>
    <xf numFmtId="0" fontId="19" fillId="0" borderId="31" xfId="0" applyFont="1" applyBorder="1" applyAlignment="1">
      <alignment horizontal="right"/>
    </xf>
    <xf numFmtId="166" fontId="19" fillId="0" borderId="0" xfId="0" applyNumberFormat="1" applyFont="1"/>
    <xf numFmtId="0" fontId="19" fillId="0" borderId="52" xfId="0" applyFont="1" applyBorder="1" applyAlignment="1">
      <alignment horizontal="right"/>
    </xf>
    <xf numFmtId="0" fontId="19" fillId="0" borderId="53" xfId="0" applyFont="1" applyBorder="1" applyAlignment="1">
      <alignment wrapText="1"/>
    </xf>
    <xf numFmtId="0" fontId="21" fillId="0" borderId="54" xfId="0" applyFont="1" applyBorder="1" applyAlignment="1">
      <alignment horizontal="center" wrapText="1"/>
    </xf>
    <xf numFmtId="0" fontId="19" fillId="0" borderId="54" xfId="0" applyFont="1" applyBorder="1" applyAlignment="1">
      <alignment horizontal="right"/>
    </xf>
    <xf numFmtId="166" fontId="19" fillId="0" borderId="27" xfId="0" applyNumberFormat="1" applyFont="1" applyBorder="1"/>
    <xf numFmtId="0" fontId="19" fillId="0" borderId="27" xfId="0" applyFont="1" applyBorder="1" applyAlignment="1">
      <alignment horizontal="right"/>
    </xf>
    <xf numFmtId="166" fontId="19" fillId="0" borderId="30" xfId="0" applyNumberFormat="1" applyFont="1" applyBorder="1"/>
    <xf numFmtId="0" fontId="18" fillId="0" borderId="0" xfId="0" applyFont="1" applyAlignment="1">
      <alignment horizontal="center" vertical="center" textRotation="90" wrapText="1"/>
    </xf>
    <xf numFmtId="0" fontId="19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0" fontId="4" fillId="0" borderId="0" xfId="0" applyFont="1" applyAlignment="1">
      <alignment horizontal="right"/>
    </xf>
    <xf numFmtId="166" fontId="4" fillId="0" borderId="31" xfId="0" applyNumberFormat="1" applyFont="1" applyBorder="1" applyAlignment="1">
      <alignment horizontal="center"/>
    </xf>
    <xf numFmtId="0" fontId="4" fillId="0" borderId="31" xfId="0" applyFont="1" applyBorder="1" applyAlignment="1">
      <alignment horizontal="right"/>
    </xf>
    <xf numFmtId="0" fontId="20" fillId="0" borderId="0" xfId="0" applyFont="1" applyAlignment="1">
      <alignment horizontal="center" vertical="center" textRotation="90" wrapText="1"/>
    </xf>
    <xf numFmtId="0" fontId="21" fillId="0" borderId="0" xfId="0" applyFont="1" applyAlignment="1">
      <alignment horizontal="right"/>
    </xf>
    <xf numFmtId="0" fontId="21" fillId="0" borderId="0" xfId="0" applyFont="1" applyAlignment="1">
      <alignment wrapText="1"/>
    </xf>
    <xf numFmtId="166" fontId="21" fillId="0" borderId="0" xfId="0" applyNumberFormat="1" applyFont="1"/>
    <xf numFmtId="0" fontId="19" fillId="0" borderId="10" xfId="0" applyFont="1" applyBorder="1" applyAlignment="1">
      <alignment horizontal="center"/>
    </xf>
    <xf numFmtId="37" fontId="17" fillId="0" borderId="0" xfId="0" applyNumberFormat="1" applyFont="1" applyAlignment="1">
      <alignment horizontal="left" indent="2"/>
    </xf>
    <xf numFmtId="166" fontId="17" fillId="0" borderId="0" xfId="0" applyNumberFormat="1" applyFont="1" applyAlignment="1">
      <alignment horizontal="right"/>
    </xf>
    <xf numFmtId="166" fontId="18" fillId="0" borderId="0" xfId="0" applyNumberFormat="1" applyFont="1"/>
    <xf numFmtId="166" fontId="17" fillId="0" borderId="18" xfId="0" applyNumberFormat="1" applyFont="1" applyBorder="1" applyAlignment="1">
      <alignment horizontal="right"/>
    </xf>
    <xf numFmtId="166" fontId="18" fillId="0" borderId="55" xfId="0" applyNumberFormat="1" applyFont="1" applyBorder="1"/>
    <xf numFmtId="166" fontId="18" fillId="0" borderId="18" xfId="0" applyNumberFormat="1" applyFont="1" applyBorder="1"/>
    <xf numFmtId="166" fontId="19" fillId="0" borderId="56" xfId="0" applyNumberFormat="1" applyFont="1" applyBorder="1"/>
    <xf numFmtId="0" fontId="19" fillId="0" borderId="44" xfId="0" applyFont="1" applyBorder="1" applyAlignment="1">
      <alignment horizontal="right"/>
    </xf>
    <xf numFmtId="0" fontId="18" fillId="0" borderId="39" xfId="0" applyFont="1" applyBorder="1" applyAlignment="1">
      <alignment wrapText="1"/>
    </xf>
    <xf numFmtId="0" fontId="20" fillId="0" borderId="23" xfId="0" applyFont="1" applyBorder="1" applyAlignment="1">
      <alignment horizontal="center" wrapText="1"/>
    </xf>
    <xf numFmtId="0" fontId="19" fillId="0" borderId="23" xfId="0" applyFont="1" applyBorder="1" applyAlignment="1">
      <alignment horizontal="right"/>
    </xf>
    <xf numFmtId="0" fontId="19" fillId="0" borderId="39" xfId="0" applyFont="1" applyBorder="1" applyAlignment="1">
      <alignment horizontal="right"/>
    </xf>
    <xf numFmtId="166" fontId="18" fillId="0" borderId="57" xfId="0" applyNumberFormat="1" applyFont="1" applyBorder="1" applyAlignment="1">
      <alignment horizontal="right"/>
    </xf>
    <xf numFmtId="166" fontId="18" fillId="0" borderId="39" xfId="0" applyNumberFormat="1" applyFont="1" applyBorder="1" applyAlignment="1">
      <alignment horizontal="right"/>
    </xf>
    <xf numFmtId="0" fontId="30" fillId="3" borderId="0" xfId="0" applyFont="1" applyFill="1" applyAlignment="1">
      <alignment horizontal="left"/>
    </xf>
    <xf numFmtId="0" fontId="18" fillId="3" borderId="0" xfId="0" applyFont="1" applyFill="1" applyAlignment="1">
      <alignment horizontal="right"/>
    </xf>
    <xf numFmtId="0" fontId="20" fillId="3" borderId="0" xfId="0" applyFont="1" applyFill="1" applyAlignment="1">
      <alignment horizontal="center"/>
    </xf>
    <xf numFmtId="0" fontId="31" fillId="3" borderId="0" xfId="0" applyFont="1" applyFill="1" applyAlignment="1">
      <alignment horizontal="right"/>
    </xf>
    <xf numFmtId="168" fontId="18" fillId="3" borderId="18" xfId="0" applyNumberFormat="1" applyFont="1" applyFill="1" applyBorder="1" applyAlignment="1">
      <alignment horizontal="right"/>
    </xf>
    <xf numFmtId="166" fontId="18" fillId="4" borderId="0" xfId="0" applyNumberFormat="1" applyFont="1" applyFill="1"/>
    <xf numFmtId="0" fontId="19" fillId="4" borderId="0" xfId="0" applyFont="1" applyFill="1" applyAlignment="1">
      <alignment horizontal="right"/>
    </xf>
    <xf numFmtId="166" fontId="18" fillId="0" borderId="58" xfId="0" applyNumberFormat="1" applyFont="1" applyBorder="1"/>
    <xf numFmtId="0" fontId="6" fillId="0" borderId="0" xfId="0" applyFont="1"/>
    <xf numFmtId="0" fontId="6" fillId="0" borderId="0" xfId="0" applyFont="1" applyAlignment="1">
      <alignment horizontal="left"/>
    </xf>
    <xf numFmtId="0" fontId="18" fillId="0" borderId="17" xfId="0" applyFont="1" applyBorder="1" applyAlignment="1">
      <alignment horizontal="center" vertical="center" textRotation="90"/>
    </xf>
    <xf numFmtId="37" fontId="18" fillId="0" borderId="0" xfId="0" applyNumberFormat="1" applyFont="1" applyAlignment="1">
      <alignment horizontal="left" indent="2"/>
    </xf>
    <xf numFmtId="1" fontId="4" fillId="0" borderId="0" xfId="0" applyNumberFormat="1" applyFont="1" applyAlignment="1">
      <alignment horizontal="right"/>
    </xf>
    <xf numFmtId="0" fontId="8" fillId="0" borderId="0" xfId="0" applyFont="1" applyAlignment="1">
      <alignment horizontal="center"/>
    </xf>
    <xf numFmtId="166" fontId="0" fillId="0" borderId="0" xfId="0" applyNumberFormat="1"/>
    <xf numFmtId="0" fontId="18" fillId="0" borderId="17" xfId="0" applyFont="1" applyBorder="1" applyAlignment="1">
      <alignment horizontal="center" vertical="center" textRotation="90" wrapText="1"/>
    </xf>
    <xf numFmtId="0" fontId="20" fillId="0" borderId="35" xfId="0" applyFont="1" applyBorder="1" applyAlignment="1">
      <alignment horizontal="center" wrapText="1"/>
    </xf>
    <xf numFmtId="0" fontId="19" fillId="4" borderId="7" xfId="0" applyFont="1" applyFill="1" applyBorder="1" applyAlignment="1">
      <alignment horizontal="right"/>
    </xf>
    <xf numFmtId="0" fontId="19" fillId="0" borderId="26" xfId="0" applyFont="1" applyBorder="1" applyAlignment="1">
      <alignment horizontal="right"/>
    </xf>
    <xf numFmtId="0" fontId="18" fillId="0" borderId="9" xfId="0" applyFont="1" applyBorder="1" applyAlignment="1">
      <alignment wrapText="1"/>
    </xf>
    <xf numFmtId="0" fontId="20" fillId="0" borderId="59" xfId="0" applyFont="1" applyBorder="1" applyAlignment="1">
      <alignment horizontal="center" wrapText="1"/>
    </xf>
    <xf numFmtId="0" fontId="19" fillId="0" borderId="59" xfId="0" applyFont="1" applyBorder="1" applyAlignment="1">
      <alignment horizontal="right"/>
    </xf>
    <xf numFmtId="0" fontId="19" fillId="4" borderId="9" xfId="0" applyFont="1" applyFill="1" applyBorder="1" applyAlignment="1">
      <alignment horizontal="right"/>
    </xf>
    <xf numFmtId="0" fontId="19" fillId="0" borderId="9" xfId="0" applyFont="1" applyBorder="1" applyAlignment="1">
      <alignment horizontal="right"/>
    </xf>
    <xf numFmtId="166" fontId="1" fillId="0" borderId="60" xfId="0" applyNumberFormat="1" applyFont="1" applyBorder="1"/>
    <xf numFmtId="0" fontId="0" fillId="0" borderId="0" xfId="0" applyAlignment="1">
      <alignment horizontal="center" vertical="center" textRotation="90" wrapText="1"/>
    </xf>
    <xf numFmtId="0" fontId="4" fillId="0" borderId="21" xfId="0" applyFont="1" applyBorder="1" applyAlignment="1">
      <alignment horizontal="right"/>
    </xf>
    <xf numFmtId="0" fontId="0" fillId="0" borderId="15" xfId="0" applyBorder="1" applyAlignment="1">
      <alignment wrapText="1"/>
    </xf>
    <xf numFmtId="0" fontId="14" fillId="0" borderId="22" xfId="0" applyFont="1" applyBorder="1" applyAlignment="1">
      <alignment horizontal="center" wrapText="1"/>
    </xf>
    <xf numFmtId="0" fontId="4" fillId="0" borderId="22" xfId="0" applyFont="1" applyBorder="1" applyAlignment="1">
      <alignment horizontal="right"/>
    </xf>
    <xf numFmtId="166" fontId="9" fillId="0" borderId="15" xfId="0" applyNumberFormat="1" applyFont="1" applyBorder="1" applyAlignment="1">
      <alignment horizontal="center"/>
    </xf>
    <xf numFmtId="0" fontId="4" fillId="0" borderId="15" xfId="0" applyFont="1" applyBorder="1" applyAlignment="1">
      <alignment horizontal="right"/>
    </xf>
    <xf numFmtId="166" fontId="1" fillId="0" borderId="10" xfId="0" applyNumberFormat="1" applyFont="1" applyBorder="1" applyAlignment="1">
      <alignment horizontal="center"/>
    </xf>
    <xf numFmtId="0" fontId="4" fillId="0" borderId="24" xfId="0" applyFont="1" applyBorder="1" applyAlignment="1">
      <alignment horizontal="right"/>
    </xf>
    <xf numFmtId="0" fontId="14" fillId="0" borderId="32" xfId="0" applyFont="1" applyBorder="1" applyAlignment="1">
      <alignment horizontal="center" wrapText="1"/>
    </xf>
    <xf numFmtId="0" fontId="4" fillId="0" borderId="32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0" fillId="0" borderId="7" xfId="0" applyBorder="1" applyAlignment="1">
      <alignment wrapText="1"/>
    </xf>
    <xf numFmtId="0" fontId="14" fillId="0" borderId="35" xfId="0" applyFont="1" applyBorder="1" applyAlignment="1">
      <alignment horizontal="center" wrapText="1"/>
    </xf>
    <xf numFmtId="0" fontId="4" fillId="0" borderId="6" xfId="0" applyFont="1" applyBorder="1" applyAlignment="1">
      <alignment horizontal="right"/>
    </xf>
    <xf numFmtId="166" fontId="1" fillId="0" borderId="6" xfId="0" applyNumberFormat="1" applyFont="1" applyBorder="1"/>
    <xf numFmtId="0" fontId="4" fillId="0" borderId="7" xfId="0" applyFont="1" applyBorder="1" applyAlignment="1">
      <alignment horizontal="right"/>
    </xf>
    <xf numFmtId="166" fontId="1" fillId="0" borderId="7" xfId="0" applyNumberFormat="1" applyFont="1" applyBorder="1"/>
    <xf numFmtId="0" fontId="4" fillId="0" borderId="35" xfId="0" applyFont="1" applyBorder="1" applyAlignment="1">
      <alignment horizontal="right"/>
    </xf>
    <xf numFmtId="0" fontId="14" fillId="0" borderId="32" xfId="0" applyFont="1" applyBorder="1" applyAlignment="1">
      <alignment horizontal="center"/>
    </xf>
    <xf numFmtId="0" fontId="4" fillId="0" borderId="19" xfId="0" applyFont="1" applyBorder="1" applyAlignment="1">
      <alignment horizontal="right"/>
    </xf>
    <xf numFmtId="0" fontId="0" fillId="0" borderId="9" xfId="0" applyBorder="1" applyAlignment="1">
      <alignment wrapText="1"/>
    </xf>
    <xf numFmtId="0" fontId="14" fillId="0" borderId="59" xfId="0" applyFont="1" applyBorder="1" applyAlignment="1">
      <alignment horizontal="center" wrapText="1"/>
    </xf>
    <xf numFmtId="0" fontId="4" fillId="0" borderId="59" xfId="0" applyFont="1" applyBorder="1" applyAlignment="1">
      <alignment horizontal="right"/>
    </xf>
    <xf numFmtId="166" fontId="1" fillId="0" borderId="9" xfId="0" applyNumberFormat="1" applyFont="1" applyBorder="1"/>
    <xf numFmtId="0" fontId="4" fillId="0" borderId="9" xfId="0" applyFont="1" applyBorder="1" applyAlignment="1">
      <alignment horizontal="right"/>
    </xf>
    <xf numFmtId="166" fontId="18" fillId="5" borderId="34" xfId="0" applyNumberFormat="1" applyFont="1" applyFill="1" applyBorder="1"/>
    <xf numFmtId="0" fontId="19" fillId="0" borderId="14" xfId="0" applyFont="1" applyBorder="1" applyAlignment="1">
      <alignment horizontal="right"/>
    </xf>
    <xf numFmtId="0" fontId="18" fillId="0" borderId="15" xfId="0" applyFont="1" applyBorder="1"/>
    <xf numFmtId="37" fontId="1" fillId="0" borderId="15" xfId="0" applyNumberFormat="1" applyFont="1" applyBorder="1"/>
    <xf numFmtId="0" fontId="19" fillId="0" borderId="17" xfId="0" applyFont="1" applyBorder="1" applyAlignment="1">
      <alignment horizontal="right"/>
    </xf>
    <xf numFmtId="37" fontId="1" fillId="0" borderId="19" xfId="0" applyNumberFormat="1" applyFont="1" applyBorder="1" applyAlignment="1">
      <alignment horizontal="left"/>
    </xf>
    <xf numFmtId="37" fontId="1" fillId="0" borderId="9" xfId="0" applyNumberFormat="1" applyFont="1" applyBorder="1"/>
    <xf numFmtId="0" fontId="18" fillId="0" borderId="9" xfId="0" applyFont="1" applyBorder="1" applyAlignment="1">
      <alignment horizontal="right"/>
    </xf>
    <xf numFmtId="166" fontId="18" fillId="0" borderId="9" xfId="0" applyNumberFormat="1" applyFont="1" applyBorder="1"/>
    <xf numFmtId="166" fontId="18" fillId="0" borderId="61" xfId="0" applyNumberFormat="1" applyFont="1" applyBorder="1"/>
    <xf numFmtId="166" fontId="18" fillId="0" borderId="38" xfId="0" applyNumberFormat="1" applyFont="1" applyBorder="1"/>
    <xf numFmtId="166" fontId="18" fillId="5" borderId="29" xfId="0" applyNumberFormat="1" applyFont="1" applyFill="1" applyBorder="1"/>
    <xf numFmtId="0" fontId="19" fillId="5" borderId="38" xfId="0" applyFont="1" applyFill="1" applyBorder="1" applyAlignment="1">
      <alignment horizontal="right"/>
    </xf>
    <xf numFmtId="166" fontId="18" fillId="5" borderId="60" xfId="0" applyNumberFormat="1" applyFont="1" applyFill="1" applyBorder="1"/>
    <xf numFmtId="0" fontId="18" fillId="0" borderId="9" xfId="0" applyFont="1" applyBorder="1" applyAlignment="1">
      <alignment horizontal="left"/>
    </xf>
    <xf numFmtId="169" fontId="18" fillId="0" borderId="36" xfId="0" applyNumberFormat="1" applyFont="1" applyBorder="1"/>
    <xf numFmtId="0" fontId="19" fillId="0" borderId="15" xfId="0" applyFont="1" applyBorder="1" applyAlignment="1">
      <alignment horizontal="right"/>
    </xf>
    <xf numFmtId="37" fontId="4" fillId="0" borderId="2" xfId="0" applyNumberFormat="1" applyFont="1" applyBorder="1" applyAlignment="1">
      <alignment horizontal="center"/>
    </xf>
    <xf numFmtId="166" fontId="19" fillId="0" borderId="7" xfId="0" applyNumberFormat="1" applyFont="1" applyBorder="1"/>
    <xf numFmtId="37" fontId="1" fillId="0" borderId="5" xfId="0" applyNumberFormat="1" applyFont="1" applyBorder="1"/>
    <xf numFmtId="166" fontId="19" fillId="0" borderId="12" xfId="0" applyNumberFormat="1" applyFont="1" applyBorder="1"/>
    <xf numFmtId="37" fontId="4" fillId="0" borderId="12" xfId="0" applyNumberFormat="1" applyFont="1" applyBorder="1" applyAlignment="1">
      <alignment horizontal="center"/>
    </xf>
    <xf numFmtId="166" fontId="18" fillId="5" borderId="12" xfId="0" applyNumberFormat="1" applyFont="1" applyFill="1" applyBorder="1"/>
    <xf numFmtId="37" fontId="1" fillId="0" borderId="34" xfId="0" applyNumberFormat="1" applyFont="1" applyBorder="1"/>
    <xf numFmtId="37" fontId="1" fillId="0" borderId="32" xfId="0" applyNumberFormat="1" applyFont="1" applyBorder="1"/>
    <xf numFmtId="0" fontId="21" fillId="0" borderId="32" xfId="0" applyFont="1" applyBorder="1" applyAlignment="1">
      <alignment horizontal="center" vertical="center" wrapText="1"/>
    </xf>
    <xf numFmtId="37" fontId="12" fillId="0" borderId="32" xfId="0" applyNumberFormat="1" applyFont="1" applyBorder="1"/>
    <xf numFmtId="37" fontId="12" fillId="0" borderId="32" xfId="0" applyNumberFormat="1" applyFont="1" applyBorder="1" applyAlignment="1">
      <alignment horizontal="right"/>
    </xf>
    <xf numFmtId="37" fontId="1" fillId="0" borderId="35" xfId="0" applyNumberFormat="1" applyFont="1" applyBorder="1"/>
    <xf numFmtId="37" fontId="1" fillId="0" borderId="12" xfId="0" applyNumberFormat="1" applyFont="1" applyBorder="1" applyAlignment="1">
      <alignment horizontal="center"/>
    </xf>
    <xf numFmtId="0" fontId="21" fillId="0" borderId="5" xfId="0" applyFont="1" applyBorder="1" applyAlignment="1">
      <alignment horizontal="center" vertical="center" wrapText="1"/>
    </xf>
    <xf numFmtId="37" fontId="1" fillId="0" borderId="8" xfId="0" applyNumberFormat="1" applyFont="1" applyBorder="1"/>
    <xf numFmtId="37" fontId="4" fillId="0" borderId="34" xfId="0" applyNumberFormat="1" applyFont="1" applyBorder="1" applyAlignment="1">
      <alignment horizontal="center"/>
    </xf>
    <xf numFmtId="166" fontId="19" fillId="0" borderId="49" xfId="0" applyNumberFormat="1" applyFont="1" applyBorder="1"/>
    <xf numFmtId="0" fontId="19" fillId="5" borderId="58" xfId="0" applyFont="1" applyFill="1" applyBorder="1" applyAlignment="1">
      <alignment horizontal="right"/>
    </xf>
    <xf numFmtId="0" fontId="18" fillId="2" borderId="17" xfId="0" applyFont="1" applyFill="1" applyBorder="1" applyAlignment="1">
      <alignment horizontal="center"/>
    </xf>
    <xf numFmtId="0" fontId="18" fillId="2" borderId="0" xfId="0" applyFont="1" applyFill="1" applyAlignment="1">
      <alignment wrapText="1"/>
    </xf>
    <xf numFmtId="0" fontId="18" fillId="2" borderId="0" xfId="0" applyFont="1" applyFill="1"/>
    <xf numFmtId="0" fontId="20" fillId="2" borderId="0" xfId="0" applyFont="1" applyFill="1"/>
    <xf numFmtId="0" fontId="18" fillId="2" borderId="18" xfId="0" applyFont="1" applyFill="1" applyBorder="1"/>
    <xf numFmtId="0" fontId="18" fillId="0" borderId="0" xfId="0" applyFont="1" applyAlignment="1">
      <alignment horizontal="center"/>
    </xf>
    <xf numFmtId="0" fontId="20" fillId="0" borderId="0" xfId="0" applyFont="1"/>
    <xf numFmtId="18" fontId="18" fillId="0" borderId="14" xfId="0" quotePrefix="1" applyNumberFormat="1" applyFont="1" applyBorder="1" applyAlignment="1">
      <alignment horizontal="center" vertical="center"/>
    </xf>
    <xf numFmtId="0" fontId="19" fillId="0" borderId="62" xfId="0" applyFont="1" applyBorder="1" applyAlignment="1">
      <alignment horizontal="center" vertical="center" wrapText="1"/>
    </xf>
    <xf numFmtId="0" fontId="30" fillId="0" borderId="22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8" fillId="0" borderId="63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18" fontId="19" fillId="0" borderId="17" xfId="0" quotePrefix="1" applyNumberFormat="1" applyFont="1" applyBorder="1" applyAlignment="1">
      <alignment horizontal="center" vertical="center"/>
    </xf>
    <xf numFmtId="0" fontId="18" fillId="0" borderId="4" xfId="0" applyFont="1" applyBorder="1" applyAlignment="1">
      <alignment vertical="center" wrapText="1"/>
    </xf>
    <xf numFmtId="0" fontId="32" fillId="0" borderId="28" xfId="0" applyFont="1" applyBorder="1" applyAlignment="1">
      <alignment horizontal="right" vertical="center" wrapText="1"/>
    </xf>
    <xf numFmtId="166" fontId="20" fillId="0" borderId="32" xfId="0" applyNumberFormat="1" applyFont="1" applyBorder="1"/>
    <xf numFmtId="166" fontId="18" fillId="0" borderId="17" xfId="0" applyNumberFormat="1" applyFont="1" applyBorder="1"/>
    <xf numFmtId="0" fontId="32" fillId="0" borderId="32" xfId="0" applyFont="1" applyBorder="1" applyAlignment="1">
      <alignment horizontal="right" vertical="center" wrapText="1"/>
    </xf>
    <xf numFmtId="0" fontId="19" fillId="0" borderId="17" xfId="0" quotePrefix="1" applyFont="1" applyBorder="1" applyAlignment="1">
      <alignment horizontal="center" vertical="center"/>
    </xf>
    <xf numFmtId="0" fontId="31" fillId="0" borderId="32" xfId="0" applyFont="1" applyBorder="1" applyAlignment="1">
      <alignment vertical="center" wrapText="1"/>
    </xf>
    <xf numFmtId="0" fontId="19" fillId="0" borderId="17" xfId="0" applyFont="1" applyBorder="1" applyAlignment="1">
      <alignment horizontal="center" vertical="center"/>
    </xf>
    <xf numFmtId="0" fontId="18" fillId="0" borderId="32" xfId="0" applyFont="1" applyBorder="1" applyAlignment="1">
      <alignment vertical="center" wrapText="1"/>
    </xf>
    <xf numFmtId="0" fontId="19" fillId="0" borderId="46" xfId="0" applyFont="1" applyBorder="1" applyAlignment="1">
      <alignment horizontal="center" vertical="center"/>
    </xf>
    <xf numFmtId="0" fontId="18" fillId="0" borderId="35" xfId="0" applyFont="1" applyBorder="1" applyAlignment="1">
      <alignment vertical="center" wrapText="1"/>
    </xf>
    <xf numFmtId="0" fontId="20" fillId="0" borderId="35" xfId="0" applyFont="1" applyBorder="1" applyAlignment="1">
      <alignment vertical="center" wrapText="1"/>
    </xf>
    <xf numFmtId="166" fontId="20" fillId="0" borderId="35" xfId="0" applyNumberFormat="1" applyFont="1" applyBorder="1" applyAlignment="1">
      <alignment vertical="center" wrapText="1"/>
    </xf>
    <xf numFmtId="166" fontId="18" fillId="0" borderId="46" xfId="0" applyNumberFormat="1" applyFont="1" applyBorder="1"/>
    <xf numFmtId="37" fontId="17" fillId="0" borderId="32" xfId="0" applyNumberFormat="1" applyFont="1" applyBorder="1" applyAlignment="1">
      <alignment horizontal="left" indent="2"/>
    </xf>
    <xf numFmtId="0" fontId="20" fillId="0" borderId="32" xfId="0" applyFont="1" applyBorder="1" applyAlignment="1">
      <alignment vertical="center" wrapText="1"/>
    </xf>
    <xf numFmtId="166" fontId="33" fillId="0" borderId="32" xfId="0" applyNumberFormat="1" applyFont="1" applyBorder="1" applyAlignment="1">
      <alignment vertical="center" wrapText="1"/>
    </xf>
    <xf numFmtId="166" fontId="17" fillId="0" borderId="17" xfId="0" applyNumberFormat="1" applyFont="1" applyBorder="1"/>
    <xf numFmtId="166" fontId="17" fillId="0" borderId="38" xfId="0" applyNumberFormat="1" applyFont="1" applyBorder="1"/>
    <xf numFmtId="166" fontId="20" fillId="0" borderId="32" xfId="0" applyNumberFormat="1" applyFont="1" applyBorder="1" applyAlignment="1">
      <alignment vertical="center" wrapText="1"/>
    </xf>
    <xf numFmtId="1" fontId="19" fillId="0" borderId="46" xfId="0" quotePrefix="1" applyNumberFormat="1" applyFont="1" applyBorder="1" applyAlignment="1">
      <alignment horizontal="center" vertical="center"/>
    </xf>
    <xf numFmtId="0" fontId="24" fillId="0" borderId="0" xfId="0" applyFont="1" applyAlignment="1">
      <alignment horizontal="left"/>
    </xf>
    <xf numFmtId="1" fontId="19" fillId="0" borderId="17" xfId="0" quotePrefix="1" applyNumberFormat="1" applyFont="1" applyBorder="1" applyAlignment="1">
      <alignment horizontal="center" vertical="center"/>
    </xf>
    <xf numFmtId="0" fontId="33" fillId="0" borderId="32" xfId="0" applyFont="1" applyBorder="1" applyAlignment="1">
      <alignment vertical="center" wrapText="1"/>
    </xf>
    <xf numFmtId="0" fontId="19" fillId="0" borderId="46" xfId="0" quotePrefix="1" applyFont="1" applyBorder="1" applyAlignment="1">
      <alignment horizontal="center" vertical="center"/>
    </xf>
    <xf numFmtId="0" fontId="31" fillId="0" borderId="35" xfId="0" applyFont="1" applyBorder="1" applyAlignment="1">
      <alignment vertical="center" wrapText="1"/>
    </xf>
    <xf numFmtId="0" fontId="19" fillId="0" borderId="40" xfId="0" quotePrefix="1" applyFont="1" applyBorder="1" applyAlignment="1">
      <alignment horizontal="center" vertical="center"/>
    </xf>
    <xf numFmtId="0" fontId="19" fillId="0" borderId="64" xfId="0" applyFont="1" applyBorder="1" applyAlignment="1">
      <alignment vertical="center" wrapText="1"/>
    </xf>
    <xf numFmtId="0" fontId="30" fillId="0" borderId="64" xfId="0" applyFont="1" applyBorder="1" applyAlignment="1">
      <alignment vertical="center" wrapText="1"/>
    </xf>
    <xf numFmtId="166" fontId="19" fillId="0" borderId="37" xfId="0" applyNumberFormat="1" applyFont="1" applyBorder="1"/>
    <xf numFmtId="166" fontId="21" fillId="0" borderId="64" xfId="0" applyNumberFormat="1" applyFont="1" applyBorder="1"/>
    <xf numFmtId="166" fontId="19" fillId="0" borderId="41" xfId="0" applyNumberFormat="1" applyFont="1" applyBorder="1"/>
    <xf numFmtId="0" fontId="20" fillId="0" borderId="4" xfId="0" applyFont="1" applyBorder="1" applyAlignment="1">
      <alignment vertical="center" wrapText="1"/>
    </xf>
    <xf numFmtId="0" fontId="19" fillId="0" borderId="0" xfId="0" quotePrefix="1" applyFont="1" applyAlignment="1">
      <alignment horizontal="center" vertical="center"/>
    </xf>
    <xf numFmtId="0" fontId="19" fillId="0" borderId="0" xfId="0" applyFont="1" applyAlignment="1">
      <alignment vertical="center" wrapText="1"/>
    </xf>
    <xf numFmtId="0" fontId="30" fillId="0" borderId="0" xfId="0" applyFont="1" applyAlignment="1">
      <alignment vertical="center" wrapText="1"/>
    </xf>
    <xf numFmtId="3" fontId="19" fillId="0" borderId="0" xfId="0" applyNumberFormat="1" applyFont="1"/>
    <xf numFmtId="3" fontId="21" fillId="0" borderId="0" xfId="0" applyNumberFormat="1" applyFont="1"/>
    <xf numFmtId="0" fontId="19" fillId="0" borderId="14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66" fontId="17" fillId="0" borderId="0" xfId="0" applyNumberFormat="1" applyFont="1"/>
    <xf numFmtId="166" fontId="20" fillId="0" borderId="0" xfId="0" applyNumberFormat="1" applyFont="1" applyAlignment="1">
      <alignment vertical="center" wrapText="1"/>
    </xf>
    <xf numFmtId="0" fontId="19" fillId="0" borderId="40" xfId="0" applyFont="1" applyBorder="1" applyAlignment="1">
      <alignment horizontal="center" vertical="center"/>
    </xf>
    <xf numFmtId="0" fontId="19" fillId="0" borderId="65" xfId="0" applyFont="1" applyBorder="1" applyAlignment="1">
      <alignment vertical="center" wrapText="1"/>
    </xf>
    <xf numFmtId="0" fontId="18" fillId="0" borderId="0" xfId="0" applyFont="1" applyProtection="1">
      <protection locked="0" hidden="1"/>
    </xf>
    <xf numFmtId="0" fontId="20" fillId="0" borderId="0" xfId="0" applyFont="1" applyProtection="1">
      <protection locked="0" hidden="1"/>
    </xf>
    <xf numFmtId="3" fontId="18" fillId="0" borderId="0" xfId="0" applyNumberFormat="1" applyFont="1"/>
    <xf numFmtId="166" fontId="20" fillId="0" borderId="0" xfId="0" applyNumberFormat="1" applyFont="1"/>
    <xf numFmtId="37" fontId="27" fillId="0" borderId="0" xfId="0" applyNumberFormat="1" applyFont="1" applyAlignment="1">
      <alignment horizontal="center"/>
    </xf>
    <xf numFmtId="0" fontId="27" fillId="0" borderId="0" xfId="0" applyFont="1"/>
    <xf numFmtId="0" fontId="34" fillId="0" borderId="0" xfId="0" applyFont="1" applyAlignment="1">
      <alignment horizontal="center"/>
    </xf>
    <xf numFmtId="0" fontId="34" fillId="0" borderId="0" xfId="0" applyFont="1"/>
    <xf numFmtId="37" fontId="34" fillId="0" borderId="0" xfId="0" applyNumberFormat="1" applyFont="1" applyAlignment="1">
      <alignment horizontal="center"/>
    </xf>
    <xf numFmtId="37" fontId="34" fillId="0" borderId="0" xfId="0" applyNumberFormat="1" applyFont="1"/>
    <xf numFmtId="0" fontId="27" fillId="0" borderId="0" xfId="0" applyFont="1" applyAlignment="1">
      <alignment horizontal="center"/>
    </xf>
    <xf numFmtId="0" fontId="31" fillId="0" borderId="0" xfId="0" applyFont="1" applyAlignment="1">
      <alignment horizontal="right"/>
    </xf>
    <xf numFmtId="18" fontId="18" fillId="0" borderId="0" xfId="0" quotePrefix="1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18" fontId="19" fillId="0" borderId="0" xfId="0" quotePrefix="1" applyNumberFormat="1" applyFont="1" applyAlignment="1">
      <alignment horizontal="center" vertical="center"/>
    </xf>
    <xf numFmtId="0" fontId="18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3" fontId="20" fillId="0" borderId="0" xfId="0" applyNumberFormat="1" applyFont="1"/>
    <xf numFmtId="166" fontId="20" fillId="0" borderId="5" xfId="0" applyNumberFormat="1" applyFont="1" applyBorder="1"/>
    <xf numFmtId="0" fontId="19" fillId="5" borderId="34" xfId="0" applyFont="1" applyFill="1" applyBorder="1" applyAlignment="1">
      <alignment horizontal="right"/>
    </xf>
    <xf numFmtId="0" fontId="18" fillId="0" borderId="57" xfId="0" applyFont="1" applyBorder="1" applyAlignment="1">
      <alignment horizontal="center" vertical="center" wrapText="1"/>
    </xf>
    <xf numFmtId="0" fontId="19" fillId="5" borderId="50" xfId="0" applyFont="1" applyFill="1" applyBorder="1" applyAlignment="1">
      <alignment horizontal="right"/>
    </xf>
    <xf numFmtId="0" fontId="19" fillId="5" borderId="11" xfId="0" applyFont="1" applyFill="1" applyBorder="1" applyAlignment="1">
      <alignment horizontal="right"/>
    </xf>
    <xf numFmtId="166" fontId="19" fillId="0" borderId="40" xfId="0" applyNumberFormat="1" applyFont="1" applyBorder="1"/>
    <xf numFmtId="0" fontId="19" fillId="5" borderId="42" xfId="0" applyFont="1" applyFill="1" applyBorder="1" applyAlignment="1">
      <alignment horizontal="right"/>
    </xf>
    <xf numFmtId="166" fontId="18" fillId="0" borderId="20" xfId="0" applyNumberFormat="1" applyFont="1" applyBorder="1"/>
    <xf numFmtId="0" fontId="19" fillId="0" borderId="66" xfId="0" applyFont="1" applyBorder="1" applyAlignment="1">
      <alignment horizontal="right"/>
    </xf>
    <xf numFmtId="0" fontId="19" fillId="0" borderId="37" xfId="0" applyFont="1" applyBorder="1" applyAlignment="1">
      <alignment horizontal="right"/>
    </xf>
    <xf numFmtId="166" fontId="18" fillId="0" borderId="37" xfId="0" applyNumberFormat="1" applyFont="1" applyBorder="1"/>
    <xf numFmtId="0" fontId="21" fillId="0" borderId="62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/>
    </xf>
    <xf numFmtId="0" fontId="19" fillId="0" borderId="62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18" fontId="18" fillId="0" borderId="25" xfId="0" quotePrefix="1" applyNumberFormat="1" applyFont="1" applyBorder="1" applyAlignment="1">
      <alignment horizontal="center" vertical="center"/>
    </xf>
    <xf numFmtId="0" fontId="19" fillId="0" borderId="6" xfId="0" applyFont="1" applyBorder="1" applyAlignment="1">
      <alignment horizontal="right"/>
    </xf>
    <xf numFmtId="0" fontId="19" fillId="0" borderId="40" xfId="0" applyFont="1" applyBorder="1" applyAlignment="1">
      <alignment horizontal="right"/>
    </xf>
    <xf numFmtId="0" fontId="19" fillId="0" borderId="68" xfId="0" applyFont="1" applyBorder="1" applyAlignment="1">
      <alignment horizontal="center" wrapText="1"/>
    </xf>
    <xf numFmtId="166" fontId="18" fillId="0" borderId="8" xfId="0" applyNumberFormat="1" applyFont="1" applyBorder="1"/>
    <xf numFmtId="166" fontId="18" fillId="0" borderId="5" xfId="0" applyNumberFormat="1" applyFont="1" applyBorder="1"/>
    <xf numFmtId="166" fontId="18" fillId="0" borderId="67" xfId="0" applyNumberFormat="1" applyFont="1" applyBorder="1"/>
    <xf numFmtId="0" fontId="19" fillId="0" borderId="68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19" fillId="0" borderId="63" xfId="0" applyFont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21" fillId="0" borderId="46" xfId="0" applyFont="1" applyBorder="1" applyAlignment="1">
      <alignment horizontal="center"/>
    </xf>
    <xf numFmtId="0" fontId="19" fillId="0" borderId="46" xfId="0" applyFont="1" applyBorder="1" applyAlignment="1">
      <alignment horizontal="right"/>
    </xf>
    <xf numFmtId="0" fontId="16" fillId="0" borderId="8" xfId="0" applyFont="1" applyBorder="1" applyAlignment="1">
      <alignment horizontal="center" wrapText="1"/>
    </xf>
    <xf numFmtId="0" fontId="16" fillId="0" borderId="7" xfId="0" applyFont="1" applyBorder="1" applyAlignment="1">
      <alignment horizontal="center" wrapText="1"/>
    </xf>
    <xf numFmtId="0" fontId="16" fillId="0" borderId="55" xfId="0" applyFont="1" applyBorder="1" applyAlignment="1">
      <alignment horizontal="center"/>
    </xf>
    <xf numFmtId="0" fontId="16" fillId="0" borderId="55" xfId="0" applyFont="1" applyBorder="1" applyAlignment="1">
      <alignment horizontal="center" wrapText="1"/>
    </xf>
    <xf numFmtId="166" fontId="18" fillId="0" borderId="55" xfId="0" applyNumberFormat="1" applyFont="1" applyBorder="1" applyAlignment="1">
      <alignment horizontal="right"/>
    </xf>
    <xf numFmtId="166" fontId="18" fillId="5" borderId="18" xfId="0" applyNumberFormat="1" applyFont="1" applyFill="1" applyBorder="1" applyAlignment="1">
      <alignment horizontal="right"/>
    </xf>
    <xf numFmtId="166" fontId="18" fillId="5" borderId="18" xfId="0" applyNumberFormat="1" applyFont="1" applyFill="1" applyBorder="1"/>
    <xf numFmtId="166" fontId="18" fillId="5" borderId="70" xfId="0" applyNumberFormat="1" applyFont="1" applyFill="1" applyBorder="1"/>
    <xf numFmtId="166" fontId="17" fillId="5" borderId="5" xfId="0" applyNumberFormat="1" applyFont="1" applyFill="1" applyBorder="1" applyAlignment="1">
      <alignment horizontal="right"/>
    </xf>
    <xf numFmtId="0" fontId="19" fillId="5" borderId="0" xfId="0" applyFont="1" applyFill="1" applyAlignment="1">
      <alignment horizontal="right"/>
    </xf>
    <xf numFmtId="166" fontId="18" fillId="5" borderId="55" xfId="0" applyNumberFormat="1" applyFont="1" applyFill="1" applyBorder="1" applyAlignment="1">
      <alignment horizontal="right"/>
    </xf>
    <xf numFmtId="0" fontId="19" fillId="5" borderId="46" xfId="0" applyFont="1" applyFill="1" applyBorder="1" applyAlignment="1">
      <alignment horizontal="right"/>
    </xf>
    <xf numFmtId="0" fontId="18" fillId="5" borderId="0" xfId="0" applyFont="1" applyFill="1" applyAlignment="1">
      <alignment horizontal="right"/>
    </xf>
    <xf numFmtId="0" fontId="19" fillId="5" borderId="72" xfId="0" applyFont="1" applyFill="1" applyBorder="1" applyAlignment="1">
      <alignment horizontal="right"/>
    </xf>
    <xf numFmtId="166" fontId="18" fillId="5" borderId="70" xfId="0" applyNumberFormat="1" applyFont="1" applyFill="1" applyBorder="1" applyAlignment="1">
      <alignment horizontal="right"/>
    </xf>
    <xf numFmtId="166" fontId="17" fillId="5" borderId="3" xfId="0" applyNumberFormat="1" applyFont="1" applyFill="1" applyBorder="1" applyAlignment="1">
      <alignment horizontal="right"/>
    </xf>
    <xf numFmtId="0" fontId="19" fillId="5" borderId="2" xfId="0" applyFont="1" applyFill="1" applyBorder="1" applyAlignment="1">
      <alignment horizontal="right"/>
    </xf>
    <xf numFmtId="166" fontId="17" fillId="5" borderId="70" xfId="0" applyNumberFormat="1" applyFont="1" applyFill="1" applyBorder="1" applyAlignment="1">
      <alignment horizontal="right"/>
    </xf>
    <xf numFmtId="0" fontId="18" fillId="5" borderId="3" xfId="0" applyFont="1" applyFill="1" applyBorder="1" applyAlignment="1">
      <alignment horizontal="right"/>
    </xf>
    <xf numFmtId="0" fontId="18" fillId="5" borderId="2" xfId="0" applyFont="1" applyFill="1" applyBorder="1" applyAlignment="1">
      <alignment horizontal="right"/>
    </xf>
    <xf numFmtId="0" fontId="19" fillId="5" borderId="1" xfId="0" applyFont="1" applyFill="1" applyBorder="1" applyAlignment="1">
      <alignment horizontal="right"/>
    </xf>
    <xf numFmtId="0" fontId="18" fillId="5" borderId="12" xfId="0" applyFont="1" applyFill="1" applyBorder="1" applyAlignment="1">
      <alignment horizontal="right"/>
    </xf>
    <xf numFmtId="166" fontId="17" fillId="5" borderId="12" xfId="0" applyNumberFormat="1" applyFont="1" applyFill="1" applyBorder="1" applyAlignment="1">
      <alignment horizontal="right"/>
    </xf>
    <xf numFmtId="0" fontId="19" fillId="5" borderId="13" xfId="0" applyFont="1" applyFill="1" applyBorder="1" applyAlignment="1">
      <alignment horizontal="right"/>
    </xf>
    <xf numFmtId="0" fontId="19" fillId="5" borderId="7" xfId="0" applyFont="1" applyFill="1" applyBorder="1" applyAlignment="1">
      <alignment horizontal="right"/>
    </xf>
    <xf numFmtId="166" fontId="17" fillId="5" borderId="8" xfId="0" applyNumberFormat="1" applyFont="1" applyFill="1" applyBorder="1" applyAlignment="1">
      <alignment horizontal="right"/>
    </xf>
    <xf numFmtId="166" fontId="17" fillId="5" borderId="7" xfId="0" applyNumberFormat="1" applyFont="1" applyFill="1" applyBorder="1" applyAlignment="1">
      <alignment horizontal="right"/>
    </xf>
    <xf numFmtId="166" fontId="17" fillId="5" borderId="55" xfId="0" applyNumberFormat="1" applyFont="1" applyFill="1" applyBorder="1" applyAlignment="1">
      <alignment horizontal="right"/>
    </xf>
    <xf numFmtId="0" fontId="24" fillId="5" borderId="13" xfId="0" applyFont="1" applyFill="1" applyBorder="1"/>
    <xf numFmtId="0" fontId="18" fillId="5" borderId="71" xfId="0" applyFont="1" applyFill="1" applyBorder="1" applyAlignment="1">
      <alignment horizontal="right"/>
    </xf>
    <xf numFmtId="0" fontId="18" fillId="5" borderId="7" xfId="0" applyFont="1" applyFill="1" applyBorder="1" applyAlignment="1">
      <alignment horizontal="right"/>
    </xf>
    <xf numFmtId="0" fontId="19" fillId="0" borderId="21" xfId="0" applyFont="1" applyBorder="1" applyAlignment="1">
      <alignment horizontal="right"/>
    </xf>
    <xf numFmtId="0" fontId="20" fillId="0" borderId="22" xfId="0" applyFont="1" applyBorder="1" applyAlignment="1">
      <alignment horizontal="center" wrapText="1"/>
    </xf>
    <xf numFmtId="0" fontId="19" fillId="0" borderId="22" xfId="0" applyFont="1" applyBorder="1" applyAlignment="1">
      <alignment horizontal="right"/>
    </xf>
    <xf numFmtId="0" fontId="19" fillId="0" borderId="16" xfId="0" applyFont="1" applyBorder="1" applyAlignment="1">
      <alignment horizontal="right"/>
    </xf>
    <xf numFmtId="166" fontId="19" fillId="0" borderId="60" xfId="0" applyNumberFormat="1" applyFont="1" applyBorder="1"/>
    <xf numFmtId="0" fontId="19" fillId="0" borderId="18" xfId="0" applyFont="1" applyBorder="1" applyAlignment="1">
      <alignment horizontal="right"/>
    </xf>
    <xf numFmtId="0" fontId="35" fillId="0" borderId="0" xfId="0" applyFont="1"/>
    <xf numFmtId="166" fontId="18" fillId="0" borderId="50" xfId="0" applyNumberFormat="1" applyFont="1" applyBorder="1" applyAlignment="1">
      <alignment horizontal="right"/>
    </xf>
    <xf numFmtId="0" fontId="0" fillId="0" borderId="40" xfId="0" applyBorder="1"/>
    <xf numFmtId="0" fontId="23" fillId="0" borderId="76" xfId="0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wrapText="1"/>
    </xf>
    <xf numFmtId="0" fontId="0" fillId="0" borderId="66" xfId="0" applyBorder="1"/>
    <xf numFmtId="0" fontId="19" fillId="0" borderId="73" xfId="0" applyFont="1" applyBorder="1" applyAlignment="1">
      <alignment horizontal="right"/>
    </xf>
    <xf numFmtId="0" fontId="0" fillId="0" borderId="37" xfId="0" applyBorder="1"/>
    <xf numFmtId="0" fontId="0" fillId="0" borderId="65" xfId="0" applyBorder="1"/>
    <xf numFmtId="0" fontId="4" fillId="0" borderId="37" xfId="0" applyFont="1" applyBorder="1"/>
    <xf numFmtId="0" fontId="4" fillId="0" borderId="41" xfId="0" applyFont="1" applyBorder="1"/>
    <xf numFmtId="166" fontId="0" fillId="0" borderId="36" xfId="0" applyNumberFormat="1" applyBorder="1"/>
    <xf numFmtId="0" fontId="20" fillId="0" borderId="32" xfId="0" applyFont="1" applyBorder="1" applyAlignment="1">
      <alignment horizontal="left"/>
    </xf>
    <xf numFmtId="166" fontId="19" fillId="0" borderId="32" xfId="0" applyNumberFormat="1" applyFont="1" applyBorder="1"/>
    <xf numFmtId="0" fontId="20" fillId="0" borderId="22" xfId="0" applyFont="1" applyBorder="1" applyAlignment="1">
      <alignment horizontal="right"/>
    </xf>
    <xf numFmtId="0" fontId="9" fillId="0" borderId="65" xfId="0" applyFont="1" applyBorder="1" applyAlignment="1">
      <alignment horizontal="right"/>
    </xf>
    <xf numFmtId="0" fontId="12" fillId="0" borderId="37" xfId="0" applyFont="1" applyBorder="1" applyAlignment="1">
      <alignment horizontal="center"/>
    </xf>
    <xf numFmtId="49" fontId="18" fillId="0" borderId="14" xfId="0" applyNumberFormat="1" applyFont="1" applyBorder="1"/>
    <xf numFmtId="0" fontId="18" fillId="0" borderId="15" xfId="0" applyFont="1" applyBorder="1" applyAlignment="1">
      <alignment horizontal="centerContinuous"/>
    </xf>
    <xf numFmtId="166" fontId="18" fillId="0" borderId="15" xfId="0" applyNumberFormat="1" applyFont="1" applyBorder="1" applyAlignment="1">
      <alignment horizontal="centerContinuous"/>
    </xf>
    <xf numFmtId="49" fontId="18" fillId="0" borderId="19" xfId="0" applyNumberFormat="1" applyFont="1" applyBorder="1"/>
    <xf numFmtId="37" fontId="1" fillId="0" borderId="17" xfId="0" applyNumberFormat="1" applyFont="1" applyBorder="1"/>
    <xf numFmtId="0" fontId="19" fillId="0" borderId="0" xfId="0" applyFont="1"/>
    <xf numFmtId="0" fontId="18" fillId="0" borderId="0" xfId="0" applyFont="1" applyAlignment="1">
      <alignment horizontal="centerContinuous"/>
    </xf>
    <xf numFmtId="166" fontId="18" fillId="0" borderId="0" xfId="0" applyNumberFormat="1" applyFont="1" applyAlignment="1">
      <alignment horizontal="centerContinuous"/>
    </xf>
    <xf numFmtId="49" fontId="19" fillId="0" borderId="17" xfId="0" applyNumberFormat="1" applyFont="1" applyBorder="1" applyAlignment="1">
      <alignment horizontal="right"/>
    </xf>
    <xf numFmtId="0" fontId="18" fillId="0" borderId="61" xfId="0" applyFont="1" applyBorder="1"/>
    <xf numFmtId="166" fontId="18" fillId="0" borderId="78" xfId="0" applyNumberFormat="1" applyFont="1" applyBorder="1"/>
    <xf numFmtId="0" fontId="21" fillId="0" borderId="15" xfId="0" applyFont="1" applyBorder="1" applyAlignment="1">
      <alignment horizontal="center" vertical="center" wrapText="1"/>
    </xf>
    <xf numFmtId="0" fontId="19" fillId="0" borderId="4" xfId="0" applyFont="1" applyBorder="1"/>
    <xf numFmtId="0" fontId="18" fillId="0" borderId="4" xfId="0" applyFont="1" applyBorder="1"/>
    <xf numFmtId="0" fontId="18" fillId="0" borderId="66" xfId="0" applyFont="1" applyBorder="1"/>
    <xf numFmtId="0" fontId="18" fillId="5" borderId="12" xfId="0" applyFont="1" applyFill="1" applyBorder="1"/>
    <xf numFmtId="0" fontId="18" fillId="5" borderId="5" xfId="0" applyFont="1" applyFill="1" applyBorder="1"/>
    <xf numFmtId="0" fontId="19" fillId="5" borderId="5" xfId="0" applyFont="1" applyFill="1" applyBorder="1"/>
    <xf numFmtId="0" fontId="18" fillId="5" borderId="8" xfId="0" applyFont="1" applyFill="1" applyBorder="1"/>
    <xf numFmtId="0" fontId="18" fillId="0" borderId="11" xfId="0" applyFont="1" applyBorder="1"/>
    <xf numFmtId="0" fontId="19" fillId="0" borderId="1" xfId="0" applyFont="1" applyBorder="1"/>
    <xf numFmtId="0" fontId="19" fillId="5" borderId="3" xfId="0" applyFont="1" applyFill="1" applyBorder="1"/>
    <xf numFmtId="0" fontId="18" fillId="0" borderId="6" xfId="0" applyFont="1" applyBorder="1"/>
    <xf numFmtId="0" fontId="19" fillId="0" borderId="15" xfId="0" applyFont="1" applyBorder="1" applyAlignment="1">
      <alignment wrapText="1"/>
    </xf>
    <xf numFmtId="0" fontId="19" fillId="0" borderId="16" xfId="0" applyFont="1" applyBorder="1"/>
    <xf numFmtId="168" fontId="18" fillId="0" borderId="0" xfId="0" applyNumberFormat="1" applyFont="1"/>
    <xf numFmtId="0" fontId="18" fillId="0" borderId="39" xfId="0" applyFont="1" applyBorder="1"/>
    <xf numFmtId="49" fontId="18" fillId="0" borderId="63" xfId="0" applyNumberFormat="1" applyFont="1" applyBorder="1"/>
    <xf numFmtId="37" fontId="18" fillId="0" borderId="0" xfId="0" applyNumberFormat="1" applyFont="1" applyAlignment="1">
      <alignment wrapText="1"/>
    </xf>
    <xf numFmtId="0" fontId="18" fillId="0" borderId="69" xfId="0" applyFont="1" applyBorder="1"/>
    <xf numFmtId="49" fontId="18" fillId="0" borderId="74" xfId="0" applyNumberFormat="1" applyFont="1" applyBorder="1"/>
    <xf numFmtId="166" fontId="18" fillId="0" borderId="27" xfId="0" applyNumberFormat="1" applyFont="1" applyBorder="1"/>
    <xf numFmtId="166" fontId="18" fillId="0" borderId="30" xfId="0" applyNumberFormat="1" applyFont="1" applyBorder="1"/>
    <xf numFmtId="0" fontId="21" fillId="0" borderId="69" xfId="0" applyFont="1" applyBorder="1" applyAlignment="1">
      <alignment horizontal="center" vertical="center" wrapText="1"/>
    </xf>
    <xf numFmtId="0" fontId="18" fillId="0" borderId="53" xfId="0" applyFont="1" applyBorder="1"/>
    <xf numFmtId="37" fontId="1" fillId="0" borderId="4" xfId="0" applyNumberFormat="1" applyFont="1" applyBorder="1"/>
    <xf numFmtId="37" fontId="1" fillId="0" borderId="53" xfId="0" applyNumberFormat="1" applyFont="1" applyBorder="1"/>
    <xf numFmtId="0" fontId="18" fillId="0" borderId="10" xfId="0" applyFont="1" applyBorder="1"/>
    <xf numFmtId="37" fontId="1" fillId="0" borderId="40" xfId="0" applyNumberFormat="1" applyFont="1" applyBorder="1"/>
    <xf numFmtId="37" fontId="1" fillId="0" borderId="37" xfId="0" applyNumberFormat="1" applyFont="1" applyBorder="1"/>
    <xf numFmtId="37" fontId="4" fillId="0" borderId="37" xfId="0" applyNumberFormat="1" applyFont="1" applyBorder="1" applyAlignment="1">
      <alignment horizontal="right"/>
    </xf>
    <xf numFmtId="10" fontId="18" fillId="0" borderId="34" xfId="0" applyNumberFormat="1" applyFont="1" applyBorder="1"/>
    <xf numFmtId="10" fontId="18" fillId="0" borderId="28" xfId="0" applyNumberFormat="1" applyFont="1" applyBorder="1"/>
    <xf numFmtId="10" fontId="18" fillId="0" borderId="4" xfId="0" applyNumberFormat="1" applyFont="1" applyBorder="1"/>
    <xf numFmtId="10" fontId="18" fillId="0" borderId="32" xfId="0" applyNumberFormat="1" applyFont="1" applyBorder="1"/>
    <xf numFmtId="10" fontId="18" fillId="0" borderId="29" xfId="0" applyNumberFormat="1" applyFont="1" applyBorder="1"/>
    <xf numFmtId="10" fontId="18" fillId="0" borderId="38" xfId="0" applyNumberFormat="1" applyFont="1" applyBorder="1"/>
    <xf numFmtId="10" fontId="18" fillId="0" borderId="54" xfId="0" applyNumberFormat="1" applyFont="1" applyBorder="1"/>
    <xf numFmtId="10" fontId="18" fillId="0" borderId="60" xfId="0" applyNumberFormat="1" applyFont="1" applyBorder="1"/>
    <xf numFmtId="10" fontId="19" fillId="0" borderId="64" xfId="0" applyNumberFormat="1" applyFont="1" applyBorder="1"/>
    <xf numFmtId="10" fontId="19" fillId="0" borderId="76" xfId="0" applyNumberFormat="1" applyFont="1" applyBorder="1"/>
    <xf numFmtId="10" fontId="18" fillId="0" borderId="34" xfId="0" applyNumberFormat="1" applyFont="1" applyBorder="1" applyAlignment="1">
      <alignment horizontal="right"/>
    </xf>
    <xf numFmtId="0" fontId="18" fillId="0" borderId="32" xfId="0" applyFont="1" applyBorder="1"/>
    <xf numFmtId="0" fontId="19" fillId="0" borderId="38" xfId="0" applyFont="1" applyBorder="1" applyAlignment="1">
      <alignment horizontal="right"/>
    </xf>
    <xf numFmtId="166" fontId="18" fillId="5" borderId="20" xfId="0" applyNumberFormat="1" applyFont="1" applyFill="1" applyBorder="1" applyAlignment="1">
      <alignment horizontal="right"/>
    </xf>
    <xf numFmtId="166" fontId="18" fillId="0" borderId="50" xfId="0" applyNumberFormat="1" applyFont="1" applyBorder="1"/>
    <xf numFmtId="0" fontId="18" fillId="0" borderId="17" xfId="0" applyFont="1" applyBorder="1" applyAlignment="1">
      <alignment horizontal="centerContinuous"/>
    </xf>
    <xf numFmtId="166" fontId="18" fillId="0" borderId="38" xfId="0" applyNumberFormat="1" applyFont="1" applyBorder="1" applyAlignment="1">
      <alignment horizontal="right"/>
    </xf>
    <xf numFmtId="0" fontId="19" fillId="0" borderId="69" xfId="0" applyFont="1" applyBorder="1" applyAlignment="1">
      <alignment horizontal="center"/>
    </xf>
    <xf numFmtId="18" fontId="18" fillId="0" borderId="46" xfId="0" quotePrefix="1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right"/>
    </xf>
    <xf numFmtId="0" fontId="23" fillId="0" borderId="25" xfId="0" applyFont="1" applyBorder="1" applyAlignment="1">
      <alignment horizontal="center" vertical="center" wrapText="1"/>
    </xf>
    <xf numFmtId="0" fontId="18" fillId="0" borderId="17" xfId="0" applyFont="1" applyBorder="1"/>
    <xf numFmtId="0" fontId="18" fillId="0" borderId="17" xfId="0" applyFont="1" applyBorder="1" applyAlignment="1">
      <alignment wrapText="1"/>
    </xf>
    <xf numFmtId="0" fontId="18" fillId="0" borderId="19" xfId="0" applyFont="1" applyBorder="1"/>
    <xf numFmtId="0" fontId="18" fillId="0" borderId="46" xfId="0" applyFont="1" applyBorder="1"/>
    <xf numFmtId="0" fontId="38" fillId="0" borderId="0" xfId="0" applyFont="1"/>
    <xf numFmtId="0" fontId="19" fillId="0" borderId="0" xfId="0" applyFont="1" applyAlignment="1">
      <alignment horizontal="center"/>
    </xf>
    <xf numFmtId="37" fontId="30" fillId="0" borderId="0" xfId="0" applyNumberFormat="1" applyFont="1" applyAlignment="1">
      <alignment horizontal="center"/>
    </xf>
    <xf numFmtId="37" fontId="20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0" fontId="20" fillId="0" borderId="32" xfId="0" applyFont="1" applyBorder="1" applyAlignment="1">
      <alignment horizontal="right"/>
    </xf>
    <xf numFmtId="0" fontId="20" fillId="0" borderId="5" xfId="0" applyFont="1" applyBorder="1" applyAlignment="1">
      <alignment horizontal="right"/>
    </xf>
    <xf numFmtId="0" fontId="20" fillId="0" borderId="4" xfId="0" applyFont="1" applyBorder="1" applyAlignment="1">
      <alignment horizontal="right"/>
    </xf>
    <xf numFmtId="37" fontId="26" fillId="0" borderId="0" xfId="0" applyNumberFormat="1" applyFont="1" applyAlignment="1">
      <alignment horizontal="left"/>
    </xf>
    <xf numFmtId="37" fontId="20" fillId="0" borderId="0" xfId="0" applyNumberFormat="1" applyFont="1"/>
    <xf numFmtId="37" fontId="32" fillId="0" borderId="0" xfId="0" applyNumberFormat="1" applyFont="1"/>
    <xf numFmtId="37" fontId="20" fillId="0" borderId="0" xfId="0" applyNumberFormat="1" applyFont="1" applyAlignment="1">
      <alignment horizontal="right"/>
    </xf>
    <xf numFmtId="37" fontId="31" fillId="0" borderId="0" xfId="0" applyNumberFormat="1" applyFont="1"/>
    <xf numFmtId="0" fontId="41" fillId="0" borderId="0" xfId="0" applyFont="1" applyAlignment="1">
      <alignment horizontal="left"/>
    </xf>
    <xf numFmtId="37" fontId="41" fillId="0" borderId="0" xfId="0" applyNumberFormat="1" applyFont="1"/>
    <xf numFmtId="37" fontId="18" fillId="0" borderId="2" xfId="0" applyNumberFormat="1" applyFont="1" applyBorder="1"/>
    <xf numFmtId="0" fontId="19" fillId="0" borderId="0" xfId="0" applyFont="1" applyAlignment="1">
      <alignment horizontal="left"/>
    </xf>
    <xf numFmtId="3" fontId="39" fillId="0" borderId="44" xfId="0" applyNumberFormat="1" applyFont="1" applyBorder="1" applyAlignment="1">
      <alignment horizontal="right" vertical="center" wrapText="1"/>
    </xf>
    <xf numFmtId="3" fontId="39" fillId="0" borderId="39" xfId="0" applyNumberFormat="1" applyFont="1" applyBorder="1" applyAlignment="1">
      <alignment horizontal="right" vertical="center" wrapText="1"/>
    </xf>
    <xf numFmtId="3" fontId="39" fillId="0" borderId="63" xfId="0" applyNumberFormat="1" applyFont="1" applyBorder="1" applyAlignment="1">
      <alignment horizontal="right" vertical="center" wrapText="1"/>
    </xf>
    <xf numFmtId="3" fontId="18" fillId="0" borderId="24" xfId="0" applyNumberFormat="1" applyFont="1" applyBorder="1" applyAlignment="1">
      <alignment horizontal="right" vertical="center" wrapText="1"/>
    </xf>
    <xf numFmtId="3" fontId="18" fillId="0" borderId="17" xfId="0" applyNumberFormat="1" applyFont="1" applyBorder="1" applyAlignment="1">
      <alignment horizontal="right" vertical="center" wrapText="1"/>
    </xf>
    <xf numFmtId="0" fontId="18" fillId="0" borderId="18" xfId="0" applyFont="1" applyBorder="1"/>
    <xf numFmtId="0" fontId="18" fillId="0" borderId="24" xfId="0" applyFont="1" applyBorder="1"/>
    <xf numFmtId="1" fontId="42" fillId="0" borderId="0" xfId="0" applyNumberFormat="1" applyFont="1" applyAlignment="1">
      <alignment horizontal="right" vertical="center" wrapText="1"/>
    </xf>
    <xf numFmtId="3" fontId="18" fillId="0" borderId="31" xfId="0" applyNumberFormat="1" applyFont="1" applyBorder="1"/>
    <xf numFmtId="3" fontId="18" fillId="0" borderId="79" xfId="0" applyNumberFormat="1" applyFont="1" applyBorder="1"/>
    <xf numFmtId="3" fontId="18" fillId="0" borderId="56" xfId="0" applyNumberFormat="1" applyFont="1" applyBorder="1"/>
    <xf numFmtId="0" fontId="18" fillId="0" borderId="26" xfId="0" applyFont="1" applyBorder="1"/>
    <xf numFmtId="1" fontId="42" fillId="0" borderId="9" xfId="0" applyNumberFormat="1" applyFont="1" applyBorder="1" applyAlignment="1">
      <alignment horizontal="right" vertical="center" wrapText="1"/>
    </xf>
    <xf numFmtId="0" fontId="18" fillId="0" borderId="20" xfId="0" applyFont="1" applyBorder="1"/>
    <xf numFmtId="3" fontId="19" fillId="0" borderId="33" xfId="0" applyNumberFormat="1" applyFont="1" applyBorder="1"/>
    <xf numFmtId="0" fontId="18" fillId="0" borderId="69" xfId="0" applyFont="1" applyBorder="1" applyAlignment="1">
      <alignment wrapText="1"/>
    </xf>
    <xf numFmtId="0" fontId="44" fillId="0" borderId="0" xfId="0" applyFont="1"/>
    <xf numFmtId="37" fontId="1" fillId="0" borderId="80" xfId="0" applyNumberFormat="1" applyFont="1" applyBorder="1"/>
    <xf numFmtId="0" fontId="0" fillId="0" borderId="36" xfId="0" applyBorder="1"/>
    <xf numFmtId="37" fontId="17" fillId="7" borderId="43" xfId="0" applyNumberFormat="1" applyFont="1" applyFill="1" applyBorder="1"/>
    <xf numFmtId="167" fontId="18" fillId="7" borderId="45" xfId="0" applyNumberFormat="1" applyFont="1" applyFill="1" applyBorder="1"/>
    <xf numFmtId="0" fontId="16" fillId="0" borderId="8" xfId="0" applyFont="1" applyBorder="1" applyAlignment="1">
      <alignment horizontal="center" vertical="center" wrapText="1"/>
    </xf>
    <xf numFmtId="0" fontId="16" fillId="0" borderId="55" xfId="0" applyFont="1" applyBorder="1" applyAlignment="1">
      <alignment horizontal="center" vertical="center" wrapText="1"/>
    </xf>
    <xf numFmtId="49" fontId="19" fillId="0" borderId="19" xfId="0" applyNumberFormat="1" applyFont="1" applyBorder="1" applyAlignment="1">
      <alignment horizontal="right"/>
    </xf>
    <xf numFmtId="0" fontId="18" fillId="5" borderId="0" xfId="0" applyFont="1" applyFill="1"/>
    <xf numFmtId="171" fontId="18" fillId="0" borderId="18" xfId="0" applyNumberFormat="1" applyFont="1" applyBorder="1"/>
    <xf numFmtId="171" fontId="18" fillId="5" borderId="18" xfId="0" applyNumberFormat="1" applyFont="1" applyFill="1" applyBorder="1"/>
    <xf numFmtId="0" fontId="18" fillId="5" borderId="18" xfId="0" applyFont="1" applyFill="1" applyBorder="1"/>
    <xf numFmtId="166" fontId="18" fillId="6" borderId="5" xfId="0" applyNumberFormat="1" applyFont="1" applyFill="1" applyBorder="1"/>
    <xf numFmtId="168" fontId="18" fillId="0" borderId="77" xfId="0" applyNumberFormat="1" applyFont="1" applyBorder="1"/>
    <xf numFmtId="0" fontId="24" fillId="5" borderId="0" xfId="0" applyFont="1" applyFill="1"/>
    <xf numFmtId="166" fontId="18" fillId="0" borderId="70" xfId="0" applyNumberFormat="1" applyFont="1" applyBorder="1" applyAlignment="1">
      <alignment horizontal="right"/>
    </xf>
    <xf numFmtId="0" fontId="19" fillId="0" borderId="29" xfId="0" applyFont="1" applyBorder="1" applyAlignment="1">
      <alignment horizontal="right"/>
    </xf>
    <xf numFmtId="0" fontId="19" fillId="0" borderId="78" xfId="0" applyFont="1" applyBorder="1" applyAlignment="1">
      <alignment horizontal="right"/>
    </xf>
    <xf numFmtId="0" fontId="19" fillId="5" borderId="9" xfId="0" applyFont="1" applyFill="1" applyBorder="1" applyAlignment="1">
      <alignment horizontal="right"/>
    </xf>
    <xf numFmtId="0" fontId="46" fillId="0" borderId="0" xfId="0" applyFont="1"/>
    <xf numFmtId="37" fontId="47" fillId="0" borderId="0" xfId="0" applyNumberFormat="1" applyFont="1"/>
    <xf numFmtId="37" fontId="14" fillId="0" borderId="0" xfId="0" applyNumberFormat="1" applyFont="1"/>
    <xf numFmtId="37" fontId="1" fillId="0" borderId="0" xfId="0" applyNumberFormat="1" applyFont="1" applyAlignment="1">
      <alignment horizontal="right"/>
    </xf>
    <xf numFmtId="37" fontId="1" fillId="0" borderId="37" xfId="0" applyNumberFormat="1" applyFont="1" applyBorder="1" applyAlignment="1">
      <alignment horizontal="right"/>
    </xf>
    <xf numFmtId="164" fontId="1" fillId="0" borderId="0" xfId="0" applyNumberFormat="1" applyFont="1"/>
    <xf numFmtId="172" fontId="1" fillId="0" borderId="41" xfId="0" applyNumberFormat="1" applyFont="1" applyBorder="1" applyAlignment="1">
      <alignment horizontal="center"/>
    </xf>
    <xf numFmtId="10" fontId="18" fillId="0" borderId="36" xfId="0" applyNumberFormat="1" applyFont="1" applyBorder="1" applyAlignment="1">
      <alignment horizontal="centerContinuous"/>
    </xf>
    <xf numFmtId="171" fontId="18" fillId="0" borderId="20" xfId="0" applyNumberFormat="1" applyFont="1" applyBorder="1"/>
    <xf numFmtId="37" fontId="1" fillId="0" borderId="14" xfId="0" applyNumberFormat="1" applyFont="1" applyBorder="1"/>
    <xf numFmtId="37" fontId="1" fillId="0" borderId="19" xfId="0" applyNumberFormat="1" applyFont="1" applyBorder="1"/>
    <xf numFmtId="37" fontId="13" fillId="0" borderId="0" xfId="0" applyNumberFormat="1" applyFont="1"/>
    <xf numFmtId="0" fontId="18" fillId="0" borderId="44" xfId="0" applyFont="1" applyBorder="1"/>
    <xf numFmtId="0" fontId="18" fillId="0" borderId="81" xfId="0" applyFont="1" applyBorder="1"/>
    <xf numFmtId="0" fontId="18" fillId="0" borderId="52" xfId="0" applyFont="1" applyBorder="1"/>
    <xf numFmtId="0" fontId="18" fillId="0" borderId="35" xfId="0" applyFont="1" applyBorder="1" applyAlignment="1">
      <alignment horizontal="right"/>
    </xf>
    <xf numFmtId="0" fontId="19" fillId="5" borderId="74" xfId="0" applyFont="1" applyFill="1" applyBorder="1" applyAlignment="1">
      <alignment horizontal="right"/>
    </xf>
    <xf numFmtId="0" fontId="18" fillId="5" borderId="75" xfId="0" applyFont="1" applyFill="1" applyBorder="1" applyAlignment="1">
      <alignment horizontal="right"/>
    </xf>
    <xf numFmtId="0" fontId="19" fillId="5" borderId="27" xfId="0" applyFont="1" applyFill="1" applyBorder="1" applyAlignment="1">
      <alignment horizontal="right"/>
    </xf>
    <xf numFmtId="0" fontId="18" fillId="5" borderId="13" xfId="0" applyFont="1" applyFill="1" applyBorder="1" applyAlignment="1">
      <alignment horizontal="right"/>
    </xf>
    <xf numFmtId="0" fontId="16" fillId="0" borderId="7" xfId="0" applyFont="1" applyBorder="1" applyAlignment="1">
      <alignment horizontal="center" vertical="center" wrapText="1"/>
    </xf>
    <xf numFmtId="166" fontId="17" fillId="5" borderId="2" xfId="0" applyNumberFormat="1" applyFont="1" applyFill="1" applyBorder="1" applyAlignment="1">
      <alignment horizontal="right"/>
    </xf>
    <xf numFmtId="0" fontId="18" fillId="5" borderId="27" xfId="0" applyFont="1" applyFill="1" applyBorder="1" applyAlignment="1">
      <alignment horizontal="right"/>
    </xf>
    <xf numFmtId="0" fontId="24" fillId="5" borderId="42" xfId="0" applyFont="1" applyFill="1" applyBorder="1"/>
    <xf numFmtId="166" fontId="18" fillId="0" borderId="77" xfId="0" applyNumberFormat="1" applyFont="1" applyBorder="1"/>
    <xf numFmtId="0" fontId="21" fillId="0" borderId="17" xfId="0" applyFont="1" applyBorder="1" applyAlignment="1">
      <alignment horizontal="center"/>
    </xf>
    <xf numFmtId="0" fontId="16" fillId="0" borderId="5" xfId="0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/>
    </xf>
    <xf numFmtId="0" fontId="16" fillId="0" borderId="18" xfId="0" applyFont="1" applyBorder="1" applyAlignment="1">
      <alignment horizontal="center" vertical="center" wrapText="1"/>
    </xf>
    <xf numFmtId="166" fontId="18" fillId="0" borderId="68" xfId="0" applyNumberFormat="1" applyFont="1" applyBorder="1"/>
    <xf numFmtId="166" fontId="18" fillId="0" borderId="16" xfId="0" applyNumberFormat="1" applyFont="1" applyBorder="1"/>
    <xf numFmtId="9" fontId="0" fillId="0" borderId="0" xfId="1" applyFont="1"/>
    <xf numFmtId="0" fontId="19" fillId="8" borderId="0" xfId="0" applyFont="1" applyFill="1" applyAlignment="1">
      <alignment horizontal="right"/>
    </xf>
    <xf numFmtId="166" fontId="17" fillId="8" borderId="5" xfId="0" applyNumberFormat="1" applyFont="1" applyFill="1" applyBorder="1" applyAlignment="1">
      <alignment horizontal="right"/>
    </xf>
    <xf numFmtId="166" fontId="17" fillId="8" borderId="0" xfId="0" applyNumberFormat="1" applyFont="1" applyFill="1" applyAlignment="1">
      <alignment horizontal="right"/>
    </xf>
    <xf numFmtId="0" fontId="19" fillId="8" borderId="17" xfId="0" applyFont="1" applyFill="1" applyBorder="1" applyAlignment="1">
      <alignment horizontal="right"/>
    </xf>
    <xf numFmtId="166" fontId="17" fillId="8" borderId="18" xfId="0" applyNumberFormat="1" applyFont="1" applyFill="1" applyBorder="1" applyAlignment="1">
      <alignment horizontal="right"/>
    </xf>
    <xf numFmtId="0" fontId="23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wrapText="1"/>
    </xf>
    <xf numFmtId="0" fontId="18" fillId="0" borderId="0" xfId="0" applyFont="1" applyAlignment="1">
      <alignment horizontal="left" indent="1"/>
    </xf>
    <xf numFmtId="37" fontId="50" fillId="0" borderId="0" xfId="0" applyNumberFormat="1" applyFont="1" applyAlignment="1">
      <alignment horizontal="right"/>
    </xf>
    <xf numFmtId="37" fontId="50" fillId="0" borderId="0" xfId="0" applyNumberFormat="1" applyFont="1"/>
    <xf numFmtId="0" fontId="21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 wrapText="1"/>
    </xf>
    <xf numFmtId="0" fontId="18" fillId="8" borderId="18" xfId="0" applyFont="1" applyFill="1" applyBorder="1" applyAlignment="1">
      <alignment horizontal="right"/>
    </xf>
    <xf numFmtId="166" fontId="18" fillId="8" borderId="18" xfId="0" applyNumberFormat="1" applyFont="1" applyFill="1" applyBorder="1"/>
    <xf numFmtId="37" fontId="1" fillId="8" borderId="18" xfId="0" applyNumberFormat="1" applyFont="1" applyFill="1" applyBorder="1"/>
    <xf numFmtId="37" fontId="1" fillId="8" borderId="20" xfId="0" applyNumberFormat="1" applyFont="1" applyFill="1" applyBorder="1"/>
    <xf numFmtId="0" fontId="16" fillId="0" borderId="68" xfId="0" applyFont="1" applyBorder="1" applyAlignment="1">
      <alignment horizontal="center" wrapText="1"/>
    </xf>
    <xf numFmtId="166" fontId="18" fillId="8" borderId="5" xfId="0" applyNumberFormat="1" applyFont="1" applyFill="1" applyBorder="1"/>
    <xf numFmtId="37" fontId="1" fillId="8" borderId="5" xfId="0" applyNumberFormat="1" applyFont="1" applyFill="1" applyBorder="1"/>
    <xf numFmtId="37" fontId="1" fillId="8" borderId="77" xfId="0" applyNumberFormat="1" applyFont="1" applyFill="1" applyBorder="1"/>
    <xf numFmtId="43" fontId="1" fillId="8" borderId="5" xfId="2" applyFont="1" applyFill="1" applyBorder="1"/>
    <xf numFmtId="0" fontId="18" fillId="8" borderId="5" xfId="0" applyFont="1" applyFill="1" applyBorder="1" applyAlignment="1">
      <alignment horizontal="right"/>
    </xf>
    <xf numFmtId="166" fontId="18" fillId="8" borderId="55" xfId="0" applyNumberFormat="1" applyFont="1" applyFill="1" applyBorder="1"/>
    <xf numFmtId="37" fontId="1" fillId="8" borderId="55" xfId="0" applyNumberFormat="1" applyFont="1" applyFill="1" applyBorder="1"/>
    <xf numFmtId="43" fontId="18" fillId="8" borderId="8" xfId="2" applyFont="1" applyFill="1" applyBorder="1"/>
    <xf numFmtId="37" fontId="1" fillId="8" borderId="8" xfId="0" applyNumberFormat="1" applyFont="1" applyFill="1" applyBorder="1"/>
    <xf numFmtId="0" fontId="4" fillId="0" borderId="0" xfId="0" applyFont="1"/>
    <xf numFmtId="0" fontId="9" fillId="0" borderId="0" xfId="0" applyFont="1" applyAlignment="1">
      <alignment horizontal="right"/>
    </xf>
    <xf numFmtId="0" fontId="12" fillId="0" borderId="0" xfId="0" applyFont="1" applyAlignment="1">
      <alignment horizontal="center"/>
    </xf>
    <xf numFmtId="0" fontId="0" fillId="0" borderId="14" xfId="0" applyBorder="1"/>
    <xf numFmtId="0" fontId="23" fillId="0" borderId="15" xfId="0" applyFont="1" applyBorder="1" applyAlignment="1">
      <alignment horizontal="center" vertical="center" wrapText="1"/>
    </xf>
    <xf numFmtId="0" fontId="23" fillId="0" borderId="36" xfId="0" applyFont="1" applyBorder="1" applyAlignment="1">
      <alignment horizontal="center" vertical="center" wrapText="1"/>
    </xf>
    <xf numFmtId="166" fontId="14" fillId="0" borderId="0" xfId="0" applyNumberFormat="1" applyFont="1"/>
    <xf numFmtId="10" fontId="0" fillId="0" borderId="0" xfId="1" applyNumberFormat="1" applyFont="1"/>
    <xf numFmtId="10" fontId="1" fillId="0" borderId="0" xfId="1" applyNumberFormat="1" applyFont="1"/>
    <xf numFmtId="0" fontId="18" fillId="11" borderId="0" xfId="0" applyFont="1" applyFill="1"/>
    <xf numFmtId="0" fontId="30" fillId="13" borderId="19" xfId="0" applyFont="1" applyFill="1" applyBorder="1" applyAlignment="1">
      <alignment horizontal="left"/>
    </xf>
    <xf numFmtId="0" fontId="31" fillId="13" borderId="9" xfId="0" applyFont="1" applyFill="1" applyBorder="1" applyAlignment="1">
      <alignment horizontal="right"/>
    </xf>
    <xf numFmtId="0" fontId="31" fillId="13" borderId="20" xfId="0" applyFont="1" applyFill="1" applyBorder="1" applyAlignment="1">
      <alignment horizontal="right"/>
    </xf>
    <xf numFmtId="0" fontId="0" fillId="12" borderId="36" xfId="0" applyFill="1" applyBorder="1"/>
    <xf numFmtId="0" fontId="18" fillId="14" borderId="38" xfId="0" applyFont="1" applyFill="1" applyBorder="1"/>
    <xf numFmtId="0" fontId="30" fillId="13" borderId="9" xfId="0" applyFont="1" applyFill="1" applyBorder="1" applyAlignment="1">
      <alignment horizontal="left"/>
    </xf>
    <xf numFmtId="0" fontId="20" fillId="13" borderId="9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right"/>
    </xf>
    <xf numFmtId="168" fontId="18" fillId="13" borderId="20" xfId="0" applyNumberFormat="1" applyFont="1" applyFill="1" applyBorder="1" applyAlignment="1">
      <alignment horizontal="right"/>
    </xf>
    <xf numFmtId="0" fontId="0" fillId="9" borderId="36" xfId="0" applyFill="1" applyBorder="1"/>
    <xf numFmtId="166" fontId="18" fillId="12" borderId="5" xfId="0" applyNumberFormat="1" applyFont="1" applyFill="1" applyBorder="1"/>
    <xf numFmtId="0" fontId="18" fillId="12" borderId="5" xfId="0" applyFont="1" applyFill="1" applyBorder="1" applyAlignment="1">
      <alignment horizontal="right"/>
    </xf>
    <xf numFmtId="0" fontId="18" fillId="12" borderId="0" xfId="0" applyFont="1" applyFill="1" applyAlignment="1">
      <alignment horizontal="right"/>
    </xf>
    <xf numFmtId="166" fontId="17" fillId="12" borderId="5" xfId="0" applyNumberFormat="1" applyFont="1" applyFill="1" applyBorder="1" applyAlignment="1">
      <alignment horizontal="right"/>
    </xf>
    <xf numFmtId="166" fontId="17" fillId="12" borderId="0" xfId="0" applyNumberFormat="1" applyFont="1" applyFill="1" applyAlignment="1">
      <alignment horizontal="right"/>
    </xf>
    <xf numFmtId="166" fontId="18" fillId="12" borderId="0" xfId="0" applyNumberFormat="1" applyFont="1" applyFill="1"/>
    <xf numFmtId="166" fontId="18" fillId="12" borderId="18" xfId="0" applyNumberFormat="1" applyFont="1" applyFill="1" applyBorder="1"/>
    <xf numFmtId="166" fontId="18" fillId="9" borderId="0" xfId="0" applyNumberFormat="1" applyFont="1" applyFill="1"/>
    <xf numFmtId="166" fontId="18" fillId="9" borderId="18" xfId="0" applyNumberFormat="1" applyFont="1" applyFill="1" applyBorder="1"/>
    <xf numFmtId="166" fontId="18" fillId="9" borderId="9" xfId="0" applyNumberFormat="1" applyFont="1" applyFill="1" applyBorder="1"/>
    <xf numFmtId="166" fontId="18" fillId="9" borderId="20" xfId="0" applyNumberFormat="1" applyFont="1" applyFill="1" applyBorder="1"/>
    <xf numFmtId="37" fontId="14" fillId="11" borderId="0" xfId="0" applyNumberFormat="1" applyFont="1" applyFill="1"/>
    <xf numFmtId="43" fontId="18" fillId="9" borderId="5" xfId="2" applyFont="1" applyFill="1" applyBorder="1"/>
    <xf numFmtId="43" fontId="18" fillId="9" borderId="8" xfId="2" applyFont="1" applyFill="1" applyBorder="1"/>
    <xf numFmtId="43" fontId="18" fillId="9" borderId="75" xfId="2" applyFont="1" applyFill="1" applyBorder="1"/>
    <xf numFmtId="166" fontId="18" fillId="9" borderId="55" xfId="0" applyNumberFormat="1" applyFont="1" applyFill="1" applyBorder="1"/>
    <xf numFmtId="37" fontId="1" fillId="9" borderId="18" xfId="0" applyNumberFormat="1" applyFont="1" applyFill="1" applyBorder="1"/>
    <xf numFmtId="0" fontId="30" fillId="15" borderId="19" xfId="0" applyFont="1" applyFill="1" applyBorder="1" applyAlignment="1">
      <alignment horizontal="left"/>
    </xf>
    <xf numFmtId="0" fontId="31" fillId="15" borderId="9" xfId="0" applyFont="1" applyFill="1" applyBorder="1" applyAlignment="1">
      <alignment horizontal="right"/>
    </xf>
    <xf numFmtId="0" fontId="31" fillId="15" borderId="20" xfId="0" applyFont="1" applyFill="1" applyBorder="1" applyAlignment="1">
      <alignment horizontal="right"/>
    </xf>
    <xf numFmtId="0" fontId="18" fillId="15" borderId="9" xfId="0" applyFont="1" applyFill="1" applyBorder="1" applyAlignment="1">
      <alignment horizontal="right"/>
    </xf>
    <xf numFmtId="0" fontId="19" fillId="15" borderId="9" xfId="0" applyFont="1" applyFill="1" applyBorder="1" applyAlignment="1">
      <alignment horizontal="right"/>
    </xf>
    <xf numFmtId="0" fontId="18" fillId="15" borderId="20" xfId="0" applyFont="1" applyFill="1" applyBorder="1" applyAlignment="1">
      <alignment horizontal="right"/>
    </xf>
    <xf numFmtId="1" fontId="18" fillId="14" borderId="0" xfId="0" applyNumberFormat="1" applyFont="1" applyFill="1" applyAlignment="1">
      <alignment horizontal="right" vertical="center" wrapText="1"/>
    </xf>
    <xf numFmtId="3" fontId="18" fillId="14" borderId="0" xfId="0" applyNumberFormat="1" applyFont="1" applyFill="1" applyAlignment="1">
      <alignment horizontal="right" vertical="center" wrapText="1"/>
    </xf>
    <xf numFmtId="1" fontId="22" fillId="14" borderId="0" xfId="0" applyNumberFormat="1" applyFont="1" applyFill="1" applyAlignment="1">
      <alignment horizontal="right" vertical="center" wrapText="1"/>
    </xf>
    <xf numFmtId="37" fontId="18" fillId="14" borderId="0" xfId="0" applyNumberFormat="1" applyFont="1" applyFill="1"/>
    <xf numFmtId="9" fontId="1" fillId="14" borderId="16" xfId="1" applyFont="1" applyFill="1" applyBorder="1"/>
    <xf numFmtId="164" fontId="1" fillId="14" borderId="20" xfId="0" applyNumberFormat="1" applyFont="1" applyFill="1" applyBorder="1"/>
    <xf numFmtId="0" fontId="40" fillId="0" borderId="0" xfId="0" applyFont="1"/>
    <xf numFmtId="0" fontId="18" fillId="8" borderId="35" xfId="0" applyFont="1" applyFill="1" applyBorder="1" applyAlignment="1">
      <alignment horizontal="right"/>
    </xf>
    <xf numFmtId="2" fontId="18" fillId="8" borderId="34" xfId="0" applyNumberFormat="1" applyFont="1" applyFill="1" applyBorder="1" applyAlignment="1">
      <alignment horizontal="right"/>
    </xf>
    <xf numFmtId="37" fontId="26" fillId="8" borderId="0" xfId="0" quotePrefix="1" applyNumberFormat="1" applyFont="1" applyFill="1" applyAlignment="1">
      <alignment horizontal="left"/>
    </xf>
    <xf numFmtId="0" fontId="18" fillId="8" borderId="23" xfId="0" applyFont="1" applyFill="1" applyBorder="1"/>
    <xf numFmtId="0" fontId="18" fillId="8" borderId="34" xfId="0" applyFont="1" applyFill="1" applyBorder="1"/>
    <xf numFmtId="0" fontId="18" fillId="8" borderId="54" xfId="0" applyFont="1" applyFill="1" applyBorder="1"/>
    <xf numFmtId="49" fontId="18" fillId="0" borderId="0" xfId="0" applyNumberFormat="1" applyFont="1"/>
    <xf numFmtId="0" fontId="18" fillId="0" borderId="9" xfId="0" applyFont="1" applyBorder="1" applyAlignment="1">
      <alignment horizontal="centerContinuous"/>
    </xf>
    <xf numFmtId="0" fontId="18" fillId="0" borderId="57" xfId="0" applyFont="1" applyBorder="1" applyAlignment="1">
      <alignment wrapText="1"/>
    </xf>
    <xf numFmtId="0" fontId="18" fillId="8" borderId="0" xfId="0" applyFont="1" applyFill="1"/>
    <xf numFmtId="166" fontId="18" fillId="8" borderId="0" xfId="0" applyNumberFormat="1" applyFont="1" applyFill="1"/>
    <xf numFmtId="0" fontId="18" fillId="8" borderId="18" xfId="0" applyFont="1" applyFill="1" applyBorder="1"/>
    <xf numFmtId="10" fontId="18" fillId="8" borderId="29" xfId="0" applyNumberFormat="1" applyFont="1" applyFill="1" applyBorder="1"/>
    <xf numFmtId="10" fontId="18" fillId="8" borderId="38" xfId="0" applyNumberFormat="1" applyFont="1" applyFill="1" applyBorder="1"/>
    <xf numFmtId="3" fontId="39" fillId="0" borderId="73" xfId="0" applyNumberFormat="1" applyFont="1" applyBorder="1" applyAlignment="1">
      <alignment horizontal="right" vertical="center" wrapText="1"/>
    </xf>
    <xf numFmtId="3" fontId="39" fillId="0" borderId="37" xfId="0" applyNumberFormat="1" applyFont="1" applyBorder="1" applyAlignment="1">
      <alignment horizontal="right" vertical="center" wrapText="1"/>
    </xf>
    <xf numFmtId="3" fontId="39" fillId="0" borderId="40" xfId="0" applyNumberFormat="1" applyFont="1" applyBorder="1" applyAlignment="1">
      <alignment horizontal="right" vertical="center" wrapText="1"/>
    </xf>
    <xf numFmtId="0" fontId="39" fillId="0" borderId="40" xfId="0" applyFont="1" applyBorder="1"/>
    <xf numFmtId="0" fontId="39" fillId="0" borderId="37" xfId="0" applyFont="1" applyBorder="1"/>
    <xf numFmtId="0" fontId="39" fillId="11" borderId="37" xfId="0" applyFont="1" applyFill="1" applyBorder="1"/>
    <xf numFmtId="0" fontId="39" fillId="0" borderId="41" xfId="0" applyFont="1" applyBorder="1"/>
    <xf numFmtId="0" fontId="30" fillId="16" borderId="19" xfId="0" applyFont="1" applyFill="1" applyBorder="1" applyAlignment="1">
      <alignment horizontal="left"/>
    </xf>
    <xf numFmtId="0" fontId="18" fillId="16" borderId="9" xfId="0" applyFont="1" applyFill="1" applyBorder="1" applyAlignment="1">
      <alignment horizontal="right"/>
    </xf>
    <xf numFmtId="0" fontId="20" fillId="16" borderId="9" xfId="0" applyFont="1" applyFill="1" applyBorder="1" applyAlignment="1">
      <alignment horizontal="center"/>
    </xf>
    <xf numFmtId="0" fontId="31" fillId="16" borderId="9" xfId="0" applyFont="1" applyFill="1" applyBorder="1" applyAlignment="1">
      <alignment horizontal="right"/>
    </xf>
    <xf numFmtId="0" fontId="19" fillId="16" borderId="9" xfId="0" applyFont="1" applyFill="1" applyBorder="1" applyAlignment="1">
      <alignment horizontal="right"/>
    </xf>
    <xf numFmtId="168" fontId="18" fillId="16" borderId="20" xfId="0" applyNumberFormat="1" applyFont="1" applyFill="1" applyBorder="1" applyAlignment="1">
      <alignment horizontal="right"/>
    </xf>
    <xf numFmtId="166" fontId="18" fillId="17" borderId="0" xfId="0" applyNumberFormat="1" applyFont="1" applyFill="1"/>
    <xf numFmtId="0" fontId="18" fillId="17" borderId="0" xfId="0" applyFont="1" applyFill="1" applyAlignment="1">
      <alignment horizontal="right"/>
    </xf>
    <xf numFmtId="166" fontId="17" fillId="17" borderId="0" xfId="0" applyNumberFormat="1" applyFont="1" applyFill="1" applyAlignment="1">
      <alignment horizontal="right"/>
    </xf>
    <xf numFmtId="166" fontId="18" fillId="17" borderId="18" xfId="0" applyNumberFormat="1" applyFont="1" applyFill="1" applyBorder="1"/>
    <xf numFmtId="166" fontId="17" fillId="17" borderId="0" xfId="0" applyNumberFormat="1" applyFont="1" applyFill="1"/>
    <xf numFmtId="166" fontId="17" fillId="17" borderId="18" xfId="0" applyNumberFormat="1" applyFont="1" applyFill="1" applyBorder="1"/>
    <xf numFmtId="165" fontId="17" fillId="17" borderId="0" xfId="0" applyNumberFormat="1" applyFont="1" applyFill="1"/>
    <xf numFmtId="165" fontId="17" fillId="17" borderId="18" xfId="0" applyNumberFormat="1" applyFont="1" applyFill="1" applyBorder="1"/>
    <xf numFmtId="165" fontId="18" fillId="17" borderId="0" xfId="0" applyNumberFormat="1" applyFont="1" applyFill="1"/>
    <xf numFmtId="0" fontId="18" fillId="16" borderId="17" xfId="0" applyFont="1" applyFill="1" applyBorder="1" applyAlignment="1">
      <alignment horizontal="center"/>
    </xf>
    <xf numFmtId="0" fontId="18" fillId="16" borderId="0" xfId="0" applyFont="1" applyFill="1" applyAlignment="1">
      <alignment horizontal="center"/>
    </xf>
    <xf numFmtId="0" fontId="20" fillId="16" borderId="0" xfId="0" applyFont="1" applyFill="1" applyAlignment="1">
      <alignment horizontal="center"/>
    </xf>
    <xf numFmtId="0" fontId="27" fillId="16" borderId="0" xfId="0" applyFont="1" applyFill="1" applyAlignment="1">
      <alignment horizontal="center"/>
    </xf>
    <xf numFmtId="0" fontId="27" fillId="16" borderId="18" xfId="0" applyFont="1" applyFill="1" applyBorder="1" applyAlignment="1">
      <alignment horizontal="center"/>
    </xf>
    <xf numFmtId="0" fontId="18" fillId="16" borderId="9" xfId="0" applyFont="1" applyFill="1" applyBorder="1" applyAlignment="1">
      <alignment horizontal="center"/>
    </xf>
    <xf numFmtId="0" fontId="18" fillId="16" borderId="9" xfId="0" applyFont="1" applyFill="1" applyBorder="1"/>
    <xf numFmtId="0" fontId="18" fillId="16" borderId="20" xfId="0" applyFont="1" applyFill="1" applyBorder="1"/>
    <xf numFmtId="0" fontId="0" fillId="17" borderId="36" xfId="0" applyFill="1" applyBorder="1"/>
    <xf numFmtId="0" fontId="0" fillId="17" borderId="0" xfId="0" applyFill="1"/>
    <xf numFmtId="0" fontId="0" fillId="17" borderId="2" xfId="0" applyFill="1" applyBorder="1"/>
    <xf numFmtId="0" fontId="0" fillId="17" borderId="9" xfId="0" applyFill="1" applyBorder="1"/>
    <xf numFmtId="166" fontId="18" fillId="17" borderId="5" xfId="0" applyNumberFormat="1" applyFont="1" applyFill="1" applyBorder="1"/>
    <xf numFmtId="0" fontId="18" fillId="17" borderId="5" xfId="0" applyFont="1" applyFill="1" applyBorder="1" applyAlignment="1">
      <alignment horizontal="right"/>
    </xf>
    <xf numFmtId="166" fontId="17" fillId="17" borderId="5" xfId="0" applyNumberFormat="1" applyFont="1" applyFill="1" applyBorder="1" applyAlignment="1">
      <alignment horizontal="right"/>
    </xf>
    <xf numFmtId="166" fontId="17" fillId="17" borderId="18" xfId="0" applyNumberFormat="1" applyFont="1" applyFill="1" applyBorder="1" applyAlignment="1">
      <alignment horizontal="right"/>
    </xf>
    <xf numFmtId="0" fontId="30" fillId="16" borderId="9" xfId="0" applyFont="1" applyFill="1" applyBorder="1" applyAlignment="1">
      <alignment horizontal="left"/>
    </xf>
    <xf numFmtId="37" fontId="1" fillId="17" borderId="32" xfId="0" applyNumberFormat="1" applyFont="1" applyFill="1" applyBorder="1"/>
    <xf numFmtId="37" fontId="1" fillId="17" borderId="5" xfId="0" applyNumberFormat="1" applyFont="1" applyFill="1" applyBorder="1"/>
    <xf numFmtId="166" fontId="18" fillId="17" borderId="38" xfId="0" applyNumberFormat="1" applyFont="1" applyFill="1" applyBorder="1"/>
    <xf numFmtId="0" fontId="18" fillId="17" borderId="38" xfId="0" applyFont="1" applyFill="1" applyBorder="1"/>
    <xf numFmtId="166" fontId="18" fillId="17" borderId="38" xfId="0" applyNumberFormat="1" applyFont="1" applyFill="1" applyBorder="1" applyAlignment="1">
      <alignment horizontal="right"/>
    </xf>
    <xf numFmtId="166" fontId="18" fillId="17" borderId="58" xfId="0" applyNumberFormat="1" applyFont="1" applyFill="1" applyBorder="1"/>
    <xf numFmtId="0" fontId="18" fillId="17" borderId="0" xfId="0" applyFont="1" applyFill="1"/>
    <xf numFmtId="0" fontId="19" fillId="17" borderId="0" xfId="0" applyFont="1" applyFill="1"/>
    <xf numFmtId="0" fontId="18" fillId="8" borderId="50" xfId="0" applyFont="1" applyFill="1" applyBorder="1" applyAlignment="1">
      <alignment horizontal="right"/>
    </xf>
    <xf numFmtId="166" fontId="18" fillId="18" borderId="0" xfId="0" applyNumberFormat="1" applyFont="1" applyFill="1"/>
    <xf numFmtId="166" fontId="18" fillId="18" borderId="9" xfId="0" applyNumberFormat="1" applyFont="1" applyFill="1" applyBorder="1"/>
    <xf numFmtId="166" fontId="18" fillId="18" borderId="18" xfId="0" applyNumberFormat="1" applyFont="1" applyFill="1" applyBorder="1"/>
    <xf numFmtId="166" fontId="18" fillId="18" borderId="20" xfId="0" applyNumberFormat="1" applyFont="1" applyFill="1" applyBorder="1"/>
    <xf numFmtId="1" fontId="18" fillId="17" borderId="0" xfId="0" applyNumberFormat="1" applyFont="1" applyFill="1" applyAlignment="1">
      <alignment horizontal="right"/>
    </xf>
    <xf numFmtId="49" fontId="19" fillId="0" borderId="14" xfId="0" applyNumberFormat="1" applyFont="1" applyBorder="1" applyAlignment="1">
      <alignment horizontal="center"/>
    </xf>
    <xf numFmtId="49" fontId="19" fillId="0" borderId="15" xfId="0" applyNumberFormat="1" applyFont="1" applyBorder="1" applyAlignment="1">
      <alignment horizontal="center"/>
    </xf>
    <xf numFmtId="37" fontId="18" fillId="8" borderId="0" xfId="0" applyNumberFormat="1" applyFont="1" applyFill="1" applyAlignment="1">
      <alignment horizontal="left"/>
    </xf>
    <xf numFmtId="0" fontId="18" fillId="8" borderId="0" xfId="0" applyFont="1" applyFill="1" applyAlignment="1">
      <alignment horizontal="left"/>
    </xf>
    <xf numFmtId="14" fontId="18" fillId="8" borderId="0" xfId="0" applyNumberFormat="1" applyFont="1" applyFill="1" applyAlignment="1">
      <alignment horizontal="left"/>
    </xf>
    <xf numFmtId="49" fontId="19" fillId="12" borderId="14" xfId="0" applyNumberFormat="1" applyFont="1" applyFill="1" applyBorder="1" applyAlignment="1">
      <alignment horizontal="center"/>
    </xf>
    <xf numFmtId="49" fontId="19" fillId="12" borderId="15" xfId="0" applyNumberFormat="1" applyFont="1" applyFill="1" applyBorder="1" applyAlignment="1">
      <alignment horizontal="center"/>
    </xf>
    <xf numFmtId="49" fontId="19" fillId="12" borderId="16" xfId="0" applyNumberFormat="1" applyFont="1" applyFill="1" applyBorder="1" applyAlignment="1">
      <alignment horizontal="center"/>
    </xf>
    <xf numFmtId="49" fontId="19" fillId="0" borderId="14" xfId="0" applyNumberFormat="1" applyFont="1" applyBorder="1" applyAlignment="1">
      <alignment horizontal="center"/>
    </xf>
    <xf numFmtId="49" fontId="19" fillId="0" borderId="15" xfId="0" applyNumberFormat="1" applyFont="1" applyBorder="1" applyAlignment="1">
      <alignment horizontal="center"/>
    </xf>
    <xf numFmtId="49" fontId="19" fillId="0" borderId="16" xfId="0" applyNumberFormat="1" applyFont="1" applyBorder="1" applyAlignment="1">
      <alignment horizontal="center"/>
    </xf>
    <xf numFmtId="49" fontId="19" fillId="0" borderId="17" xfId="0" applyNumberFormat="1" applyFont="1" applyBorder="1" applyAlignment="1">
      <alignment horizontal="center"/>
    </xf>
    <xf numFmtId="49" fontId="19" fillId="0" borderId="0" xfId="0" applyNumberFormat="1" applyFont="1" applyAlignment="1">
      <alignment horizontal="center"/>
    </xf>
    <xf numFmtId="37" fontId="27" fillId="13" borderId="17" xfId="0" applyNumberFormat="1" applyFont="1" applyFill="1" applyBorder="1" applyAlignment="1">
      <alignment horizontal="center"/>
    </xf>
    <xf numFmtId="37" fontId="27" fillId="13" borderId="0" xfId="0" applyNumberFormat="1" applyFont="1" applyFill="1" applyAlignment="1">
      <alignment horizontal="center"/>
    </xf>
    <xf numFmtId="0" fontId="51" fillId="13" borderId="17" xfId="0" applyFont="1" applyFill="1" applyBorder="1" applyAlignment="1">
      <alignment horizontal="center"/>
    </xf>
    <xf numFmtId="0" fontId="51" fillId="13" borderId="0" xfId="0" applyFont="1" applyFill="1" applyAlignment="1">
      <alignment horizontal="center"/>
    </xf>
    <xf numFmtId="37" fontId="4" fillId="12" borderId="0" xfId="0" applyNumberFormat="1" applyFont="1" applyFill="1" applyAlignment="1">
      <alignment horizontal="center"/>
    </xf>
    <xf numFmtId="0" fontId="18" fillId="0" borderId="45" xfId="0" applyFont="1" applyBorder="1" applyAlignment="1">
      <alignment horizontal="center" vertical="center" textRotation="90" wrapText="1"/>
    </xf>
    <xf numFmtId="0" fontId="18" fillId="0" borderId="51" xfId="0" applyFont="1" applyBorder="1" applyAlignment="1">
      <alignment horizontal="center" vertical="center" textRotation="90" wrapText="1"/>
    </xf>
    <xf numFmtId="37" fontId="27" fillId="16" borderId="14" xfId="0" applyNumberFormat="1" applyFont="1" applyFill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0" fontId="27" fillId="10" borderId="16" xfId="0" applyFont="1" applyFill="1" applyBorder="1" applyAlignment="1">
      <alignment horizontal="center"/>
    </xf>
    <xf numFmtId="0" fontId="28" fillId="16" borderId="17" xfId="0" applyFont="1" applyFill="1" applyBorder="1" applyAlignment="1">
      <alignment horizontal="center"/>
    </xf>
    <xf numFmtId="0" fontId="28" fillId="10" borderId="0" xfId="0" applyFont="1" applyFill="1" applyAlignment="1">
      <alignment horizontal="center"/>
    </xf>
    <xf numFmtId="0" fontId="28" fillId="10" borderId="18" xfId="0" applyFont="1" applyFill="1" applyBorder="1" applyAlignment="1">
      <alignment horizontal="center"/>
    </xf>
    <xf numFmtId="37" fontId="28" fillId="16" borderId="17" xfId="0" applyNumberFormat="1" applyFont="1" applyFill="1" applyBorder="1" applyAlignment="1">
      <alignment horizontal="center"/>
    </xf>
    <xf numFmtId="0" fontId="29" fillId="16" borderId="17" xfId="0" applyFont="1" applyFill="1" applyBorder="1" applyAlignment="1">
      <alignment horizontal="center"/>
    </xf>
    <xf numFmtId="0" fontId="29" fillId="10" borderId="0" xfId="0" applyFont="1" applyFill="1" applyAlignment="1">
      <alignment horizontal="center"/>
    </xf>
    <xf numFmtId="0" fontId="29" fillId="10" borderId="18" xfId="0" applyFont="1" applyFill="1" applyBorder="1" applyAlignment="1">
      <alignment horizontal="center"/>
    </xf>
    <xf numFmtId="0" fontId="18" fillId="0" borderId="43" xfId="0" applyFont="1" applyBorder="1" applyAlignment="1">
      <alignment horizontal="center" vertical="center" textRotation="90"/>
    </xf>
    <xf numFmtId="0" fontId="18" fillId="0" borderId="45" xfId="0" applyFont="1" applyBorder="1" applyAlignment="1">
      <alignment horizontal="center" vertical="center" textRotation="90"/>
    </xf>
    <xf numFmtId="0" fontId="18" fillId="0" borderId="17" xfId="0" applyFont="1" applyBorder="1" applyAlignment="1">
      <alignment horizontal="center" vertical="center" textRotation="90" wrapText="1"/>
    </xf>
    <xf numFmtId="0" fontId="18" fillId="0" borderId="19" xfId="0" applyFont="1" applyBorder="1" applyAlignment="1">
      <alignment horizontal="center" vertical="center" textRotation="90" wrapText="1"/>
    </xf>
    <xf numFmtId="0" fontId="0" fillId="0" borderId="14" xfId="0" applyBorder="1" applyAlignment="1">
      <alignment horizontal="center" vertical="center" textRotation="90" wrapText="1"/>
    </xf>
    <xf numFmtId="0" fontId="0" fillId="0" borderId="17" xfId="0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37" fontId="27" fillId="3" borderId="14" xfId="0" applyNumberFormat="1" applyFont="1" applyFill="1" applyBorder="1" applyAlignment="1">
      <alignment horizontal="center"/>
    </xf>
    <xf numFmtId="0" fontId="27" fillId="3" borderId="15" xfId="0" applyFont="1" applyFill="1" applyBorder="1" applyAlignment="1">
      <alignment horizontal="center"/>
    </xf>
    <xf numFmtId="0" fontId="27" fillId="3" borderId="16" xfId="0" applyFont="1" applyFill="1" applyBorder="1" applyAlignment="1">
      <alignment horizontal="center"/>
    </xf>
    <xf numFmtId="0" fontId="28" fillId="3" borderId="17" xfId="0" applyFont="1" applyFill="1" applyBorder="1" applyAlignment="1">
      <alignment horizontal="center"/>
    </xf>
    <xf numFmtId="0" fontId="28" fillId="3" borderId="0" xfId="0" applyFont="1" applyFill="1" applyAlignment="1">
      <alignment horizontal="center"/>
    </xf>
    <xf numFmtId="0" fontId="28" fillId="3" borderId="18" xfId="0" applyFont="1" applyFill="1" applyBorder="1" applyAlignment="1">
      <alignment horizontal="center"/>
    </xf>
    <xf numFmtId="37" fontId="28" fillId="3" borderId="17" xfId="0" applyNumberFormat="1" applyFont="1" applyFill="1" applyBorder="1" applyAlignment="1">
      <alignment horizontal="center"/>
    </xf>
    <xf numFmtId="0" fontId="29" fillId="3" borderId="17" xfId="0" applyFont="1" applyFill="1" applyBorder="1" applyAlignment="1">
      <alignment horizontal="center"/>
    </xf>
    <xf numFmtId="0" fontId="29" fillId="3" borderId="0" xfId="0" applyFont="1" applyFill="1" applyAlignment="1">
      <alignment horizontal="center"/>
    </xf>
    <xf numFmtId="0" fontId="29" fillId="3" borderId="18" xfId="0" applyFont="1" applyFill="1" applyBorder="1" applyAlignment="1">
      <alignment horizontal="center"/>
    </xf>
    <xf numFmtId="0" fontId="18" fillId="0" borderId="14" xfId="0" applyFont="1" applyBorder="1" applyAlignment="1">
      <alignment horizontal="center" vertical="center" textRotation="90"/>
    </xf>
    <xf numFmtId="0" fontId="18" fillId="0" borderId="17" xfId="0" applyFont="1" applyBorder="1" applyAlignment="1">
      <alignment horizontal="center" vertical="center" textRotation="90"/>
    </xf>
    <xf numFmtId="37" fontId="28" fillId="10" borderId="0" xfId="0" applyNumberFormat="1" applyFont="1" applyFill="1" applyAlignment="1">
      <alignment horizontal="center"/>
    </xf>
    <xf numFmtId="37" fontId="28" fillId="10" borderId="18" xfId="0" applyNumberFormat="1" applyFont="1" applyFill="1" applyBorder="1" applyAlignment="1">
      <alignment horizontal="center"/>
    </xf>
    <xf numFmtId="0" fontId="19" fillId="0" borderId="63" xfId="0" applyFont="1" applyBorder="1" applyAlignment="1">
      <alignment horizontal="center"/>
    </xf>
    <xf numFmtId="0" fontId="19" fillId="0" borderId="39" xfId="0" applyFont="1" applyBorder="1" applyAlignment="1">
      <alignment horizontal="center"/>
    </xf>
    <xf numFmtId="0" fontId="19" fillId="0" borderId="57" xfId="0" applyFont="1" applyBorder="1" applyAlignment="1">
      <alignment horizontal="center"/>
    </xf>
    <xf numFmtId="0" fontId="23" fillId="0" borderId="22" xfId="0" applyFont="1" applyBorder="1" applyAlignment="1">
      <alignment horizontal="center" vertical="center" wrapText="1"/>
    </xf>
    <xf numFmtId="0" fontId="23" fillId="0" borderId="3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37" fontId="27" fillId="13" borderId="14" xfId="0" applyNumberFormat="1" applyFont="1" applyFill="1" applyBorder="1" applyAlignment="1">
      <alignment horizontal="center"/>
    </xf>
    <xf numFmtId="0" fontId="27" fillId="13" borderId="15" xfId="0" applyFont="1" applyFill="1" applyBorder="1" applyAlignment="1">
      <alignment horizontal="center"/>
    </xf>
    <xf numFmtId="0" fontId="27" fillId="13" borderId="16" xfId="0" applyFont="1" applyFill="1" applyBorder="1" applyAlignment="1">
      <alignment horizontal="center"/>
    </xf>
    <xf numFmtId="0" fontId="28" fillId="13" borderId="17" xfId="0" applyFont="1" applyFill="1" applyBorder="1" applyAlignment="1">
      <alignment horizontal="center"/>
    </xf>
    <xf numFmtId="0" fontId="28" fillId="13" borderId="0" xfId="0" applyFont="1" applyFill="1" applyAlignment="1">
      <alignment horizontal="center"/>
    </xf>
    <xf numFmtId="0" fontId="28" fillId="13" borderId="18" xfId="0" applyFont="1" applyFill="1" applyBorder="1" applyAlignment="1">
      <alignment horizontal="center"/>
    </xf>
    <xf numFmtId="37" fontId="28" fillId="13" borderId="17" xfId="0" applyNumberFormat="1" applyFont="1" applyFill="1" applyBorder="1" applyAlignment="1">
      <alignment horizontal="center"/>
    </xf>
    <xf numFmtId="0" fontId="29" fillId="13" borderId="17" xfId="0" applyFont="1" applyFill="1" applyBorder="1" applyAlignment="1">
      <alignment horizontal="center"/>
    </xf>
    <xf numFmtId="0" fontId="29" fillId="13" borderId="0" xfId="0" applyFont="1" applyFill="1" applyAlignment="1">
      <alignment horizontal="center"/>
    </xf>
    <xf numFmtId="0" fontId="29" fillId="13" borderId="18" xfId="0" applyFont="1" applyFill="1" applyBorder="1" applyAlignment="1">
      <alignment horizontal="center"/>
    </xf>
    <xf numFmtId="49" fontId="19" fillId="0" borderId="40" xfId="0" applyNumberFormat="1" applyFont="1" applyBorder="1" applyAlignment="1">
      <alignment horizontal="center"/>
    </xf>
    <xf numFmtId="49" fontId="19" fillId="0" borderId="37" xfId="0" applyNumberFormat="1" applyFont="1" applyBorder="1" applyAlignment="1">
      <alignment horizontal="center"/>
    </xf>
    <xf numFmtId="49" fontId="19" fillId="0" borderId="41" xfId="0" applyNumberFormat="1" applyFont="1" applyBorder="1" applyAlignment="1">
      <alignment horizontal="center"/>
    </xf>
    <xf numFmtId="0" fontId="23" fillId="0" borderId="0" xfId="0" applyFont="1" applyAlignment="1">
      <alignment horizontal="center" vertical="center" wrapText="1"/>
    </xf>
    <xf numFmtId="37" fontId="27" fillId="15" borderId="14" xfId="0" applyNumberFormat="1" applyFont="1" applyFill="1" applyBorder="1" applyAlignment="1">
      <alignment horizontal="center"/>
    </xf>
    <xf numFmtId="0" fontId="27" fillId="15" borderId="15" xfId="0" applyFont="1" applyFill="1" applyBorder="1" applyAlignment="1">
      <alignment horizontal="center"/>
    </xf>
    <xf numFmtId="0" fontId="27" fillId="15" borderId="16" xfId="0" applyFont="1" applyFill="1" applyBorder="1" applyAlignment="1">
      <alignment horizontal="center"/>
    </xf>
    <xf numFmtId="0" fontId="28" fillId="15" borderId="17" xfId="0" applyFont="1" applyFill="1" applyBorder="1" applyAlignment="1">
      <alignment horizontal="center"/>
    </xf>
    <xf numFmtId="0" fontId="28" fillId="15" borderId="0" xfId="0" applyFont="1" applyFill="1" applyAlignment="1">
      <alignment horizontal="center"/>
    </xf>
    <xf numFmtId="0" fontId="28" fillId="15" borderId="18" xfId="0" applyFont="1" applyFill="1" applyBorder="1" applyAlignment="1">
      <alignment horizontal="center"/>
    </xf>
    <xf numFmtId="37" fontId="28" fillId="15" borderId="17" xfId="0" applyNumberFormat="1" applyFont="1" applyFill="1" applyBorder="1" applyAlignment="1">
      <alignment horizontal="center"/>
    </xf>
    <xf numFmtId="0" fontId="29" fillId="15" borderId="17" xfId="0" applyFont="1" applyFill="1" applyBorder="1" applyAlignment="1">
      <alignment horizontal="center"/>
    </xf>
    <xf numFmtId="0" fontId="29" fillId="15" borderId="0" xfId="0" applyFont="1" applyFill="1" applyAlignment="1">
      <alignment horizontal="center"/>
    </xf>
    <xf numFmtId="0" fontId="29" fillId="15" borderId="18" xfId="0" applyFont="1" applyFill="1" applyBorder="1" applyAlignment="1">
      <alignment horizontal="center"/>
    </xf>
    <xf numFmtId="37" fontId="28" fillId="15" borderId="0" xfId="0" applyNumberFormat="1" applyFont="1" applyFill="1" applyAlignment="1">
      <alignment horizontal="center"/>
    </xf>
    <xf numFmtId="37" fontId="28" fillId="15" borderId="18" xfId="0" applyNumberFormat="1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4" fillId="6" borderId="0" xfId="0" applyFont="1" applyFill="1"/>
    <xf numFmtId="0" fontId="1" fillId="6" borderId="0" xfId="0" applyFont="1" applyFill="1"/>
    <xf numFmtId="0" fontId="1" fillId="0" borderId="0" xfId="0" applyFont="1" applyAlignment="1">
      <alignment horizontal="center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RE" Type="http://schemas.openxmlformats.org/officeDocument/2006/relationships/worksheet" Target="worksheets/sheetRE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293077</xdr:colOff>
      <xdr:row>11</xdr:row>
      <xdr:rowOff>73269</xdr:rowOff>
    </xdr:from>
    <xdr:to>
      <xdr:col>2</xdr:col>
      <xdr:colOff>300403</xdr:colOff>
      <xdr:row>16</xdr:row>
      <xdr:rowOff>95250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AFFCBD52-B6F5-475F-91FE-C1AC926E193F}"/>
            </a:ext>
          </a:extLst>
        </xdr:cNvPr>
        <xdr:cNvCxnSpPr/>
      </xdr:nvCxnSpPr>
      <xdr:spPr>
        <a:xfrm flipH="1">
          <a:off x="4901712" y="1861038"/>
          <a:ext cx="7326" cy="827943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13</xdr:row>
      <xdr:rowOff>12699</xdr:rowOff>
    </xdr:from>
    <xdr:to>
      <xdr:col>7</xdr:col>
      <xdr:colOff>285753</xdr:colOff>
      <xdr:row>17</xdr:row>
      <xdr:rowOff>152392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1B1635AC-9F88-FEE7-8E5B-CD5A7380C8F6}"/>
            </a:ext>
          </a:extLst>
        </xdr:cNvPr>
        <xdr:cNvSpPr/>
      </xdr:nvSpPr>
      <xdr:spPr>
        <a:xfrm rot="5400000" flipH="1">
          <a:off x="2806705" y="-984256"/>
          <a:ext cx="774693" cy="6273803"/>
        </a:xfrm>
        <a:prstGeom prst="leftBrac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>
    <tabColor theme="3" tint="-0.249977111117893"/>
  </sheetPr>
  <dimension ref="A1:V138"/>
  <sheetViews>
    <sheetView topLeftCell="A35" workbookViewId="0">
      <selection activeCell="D49" sqref="D49"/>
    </sheetView>
  </sheetViews>
  <sheetFormatPr defaultColWidth="8.81640625" defaultRowHeight="13" x14ac:dyDescent="0.3"/>
  <cols>
    <col min="1" max="1" width="26.81640625" style="1" customWidth="1"/>
    <col min="2" max="2" width="13.81640625" style="1" customWidth="1"/>
    <col min="3" max="3" width="25.54296875" style="1" customWidth="1"/>
    <col min="4" max="4" width="26" style="1" customWidth="1"/>
    <col min="5" max="5" width="11.7265625" style="1" customWidth="1"/>
    <col min="6" max="6" width="10.54296875" style="1" customWidth="1"/>
    <col min="7" max="7" width="9.54296875" style="1" customWidth="1"/>
    <col min="8" max="8" width="10.81640625" style="1" customWidth="1"/>
    <col min="9" max="10" width="15" style="1" customWidth="1"/>
    <col min="11" max="11" width="12" style="1" bestFit="1" customWidth="1"/>
    <col min="12" max="12" width="1.453125" style="1" customWidth="1"/>
    <col min="13" max="16384" width="8.81640625" style="1"/>
  </cols>
  <sheetData>
    <row r="1" spans="1:10" ht="15" customHeight="1" x14ac:dyDescent="0.35">
      <c r="A1" s="38" t="s">
        <v>0</v>
      </c>
      <c r="B1" s="594" t="s">
        <v>788</v>
      </c>
      <c r="C1" s="38"/>
      <c r="E1" s="37"/>
      <c r="F1" s="39"/>
      <c r="G1" s="39"/>
      <c r="H1" s="39"/>
      <c r="I1" s="39"/>
      <c r="J1" s="39"/>
    </row>
    <row r="2" spans="1:10" ht="14.5" x14ac:dyDescent="0.35">
      <c r="A2" s="38" t="s">
        <v>1</v>
      </c>
      <c r="B2" s="594" t="s">
        <v>789</v>
      </c>
      <c r="C2" s="38"/>
      <c r="E2" s="37"/>
      <c r="F2" s="39"/>
      <c r="G2" s="39"/>
      <c r="H2" s="39"/>
      <c r="I2" s="39"/>
      <c r="J2" s="39"/>
    </row>
    <row r="3" spans="1:10" ht="14.5" x14ac:dyDescent="0.35">
      <c r="A3" s="38" t="s">
        <v>2</v>
      </c>
      <c r="B3" s="594"/>
      <c r="C3" s="38"/>
      <c r="E3" s="37"/>
      <c r="F3" s="39"/>
      <c r="G3" s="39"/>
      <c r="H3" s="39"/>
      <c r="I3" s="39"/>
      <c r="J3" s="39"/>
    </row>
    <row r="4" spans="1:10" ht="14.5" x14ac:dyDescent="0.35">
      <c r="A4" s="38" t="s">
        <v>3</v>
      </c>
      <c r="B4" s="594"/>
      <c r="C4" s="38"/>
      <c r="E4" s="37"/>
      <c r="F4" s="39"/>
      <c r="G4" s="39"/>
      <c r="H4" s="39"/>
      <c r="I4" s="39"/>
      <c r="J4" s="39"/>
    </row>
    <row r="5" spans="1:10" ht="15.5" x14ac:dyDescent="0.35">
      <c r="A5" s="40"/>
      <c r="B5" s="39"/>
      <c r="C5" s="39"/>
      <c r="D5" s="39"/>
      <c r="E5" s="39"/>
      <c r="F5" s="39"/>
      <c r="G5" s="39"/>
      <c r="H5" s="39"/>
      <c r="I5" s="39"/>
      <c r="J5" s="39"/>
    </row>
    <row r="6" spans="1:10" ht="16" thickBot="1" x14ac:dyDescent="0.4">
      <c r="A6" s="41" t="str">
        <f>"20"&amp;RIGHT(B1,2)&amp;" Tax Questionnaire"</f>
        <v>2024 Tax Questionnaire</v>
      </c>
      <c r="B6" s="42"/>
      <c r="C6" s="42"/>
      <c r="D6" s="42"/>
      <c r="E6" s="42"/>
      <c r="F6" s="42"/>
      <c r="G6" s="42"/>
      <c r="H6" s="42"/>
      <c r="I6" s="42"/>
      <c r="J6" s="42"/>
    </row>
    <row r="7" spans="1:10" x14ac:dyDescent="0.3">
      <c r="A7" s="39"/>
      <c r="B7" s="39"/>
      <c r="C7" s="39"/>
      <c r="D7" s="39"/>
      <c r="E7" s="39"/>
      <c r="F7" s="39"/>
      <c r="G7" s="39"/>
      <c r="H7" s="39"/>
      <c r="I7" s="39"/>
      <c r="J7" s="39"/>
    </row>
    <row r="8" spans="1:10" x14ac:dyDescent="0.3">
      <c r="A8" s="39"/>
      <c r="B8" s="39"/>
      <c r="C8" s="39"/>
      <c r="D8" s="39"/>
      <c r="E8" s="39"/>
      <c r="F8" s="39"/>
      <c r="G8" s="39"/>
      <c r="H8" s="39"/>
      <c r="I8" s="39"/>
      <c r="J8" s="39"/>
    </row>
    <row r="9" spans="1:10" ht="14.5" x14ac:dyDescent="0.35">
      <c r="A9" s="591" t="s">
        <v>4</v>
      </c>
      <c r="C9" s="39"/>
      <c r="D9" s="39"/>
      <c r="E9" s="39"/>
      <c r="F9" s="39"/>
      <c r="G9" s="39"/>
      <c r="H9" s="39"/>
      <c r="I9" s="39"/>
      <c r="J9" s="39"/>
    </row>
    <row r="10" spans="1:10" x14ac:dyDescent="0.3">
      <c r="A10" s="39"/>
      <c r="B10" s="39"/>
      <c r="C10" s="39"/>
      <c r="D10" s="39"/>
      <c r="E10" s="39"/>
      <c r="F10" s="39"/>
      <c r="G10" s="39"/>
      <c r="H10" s="39"/>
      <c r="I10" s="39"/>
      <c r="J10" s="39"/>
    </row>
    <row r="11" spans="1:10" x14ac:dyDescent="0.3">
      <c r="A11" s="39" t="s">
        <v>5</v>
      </c>
      <c r="B11" s="661"/>
      <c r="C11" s="661"/>
      <c r="D11" s="661"/>
      <c r="E11" s="661"/>
      <c r="F11" s="661"/>
      <c r="I11" s="39"/>
      <c r="J11" s="39"/>
    </row>
    <row r="12" spans="1:10" x14ac:dyDescent="0.3">
      <c r="A12" s="39"/>
      <c r="B12" s="39"/>
      <c r="C12" s="39"/>
      <c r="D12" s="39"/>
      <c r="E12" s="39"/>
      <c r="F12" s="39"/>
      <c r="I12" s="39"/>
      <c r="J12" s="39"/>
    </row>
    <row r="13" spans="1:10" x14ac:dyDescent="0.3">
      <c r="A13" s="39" t="s">
        <v>6</v>
      </c>
      <c r="B13" s="662"/>
      <c r="C13" s="662"/>
      <c r="D13" s="662"/>
      <c r="E13" s="662"/>
      <c r="F13" s="662"/>
      <c r="I13" s="39"/>
      <c r="J13" s="39"/>
    </row>
    <row r="14" spans="1:10" x14ac:dyDescent="0.3">
      <c r="A14" s="39"/>
      <c r="B14" s="662"/>
      <c r="C14" s="662"/>
      <c r="D14" s="662"/>
      <c r="E14" s="662"/>
      <c r="F14" s="662"/>
      <c r="I14" s="39"/>
      <c r="J14" s="39"/>
    </row>
    <row r="15" spans="1:10" x14ac:dyDescent="0.3">
      <c r="A15" s="39"/>
      <c r="B15" s="662"/>
      <c r="C15" s="662"/>
      <c r="D15" s="662"/>
      <c r="E15" s="662"/>
      <c r="F15" s="662"/>
      <c r="I15" s="39"/>
      <c r="J15" s="39"/>
    </row>
    <row r="16" spans="1:10" x14ac:dyDescent="0.3">
      <c r="A16" s="39"/>
      <c r="B16" s="39"/>
      <c r="C16" s="39"/>
      <c r="D16" s="39"/>
      <c r="E16" s="39"/>
      <c r="F16" s="39"/>
      <c r="I16" s="39"/>
      <c r="J16" s="39"/>
    </row>
    <row r="17" spans="1:10" x14ac:dyDescent="0.3">
      <c r="A17" s="39" t="s">
        <v>7</v>
      </c>
      <c r="B17" s="663"/>
      <c r="C17" s="662"/>
      <c r="D17" s="662"/>
      <c r="E17" s="662"/>
      <c r="F17" s="662"/>
      <c r="I17" s="39"/>
      <c r="J17" s="39"/>
    </row>
    <row r="18" spans="1:10" x14ac:dyDescent="0.3">
      <c r="A18" s="39"/>
      <c r="B18" s="39"/>
      <c r="C18" s="39"/>
      <c r="D18" s="39"/>
      <c r="E18" s="39"/>
      <c r="F18" s="39"/>
      <c r="I18" s="39"/>
      <c r="J18" s="39"/>
    </row>
    <row r="19" spans="1:10" x14ac:dyDescent="0.3">
      <c r="A19" s="39" t="s">
        <v>8</v>
      </c>
      <c r="B19" s="661"/>
      <c r="C19" s="661"/>
      <c r="D19" s="661"/>
      <c r="E19" s="661"/>
      <c r="F19" s="661"/>
      <c r="I19" s="39"/>
      <c r="J19" s="39"/>
    </row>
    <row r="20" spans="1:10" x14ac:dyDescent="0.3">
      <c r="A20" s="39"/>
      <c r="B20" s="39"/>
      <c r="C20" s="39"/>
      <c r="D20" s="39"/>
      <c r="E20" s="39"/>
      <c r="F20" s="39"/>
      <c r="I20" s="39"/>
      <c r="J20" s="39"/>
    </row>
    <row r="21" spans="1:10" x14ac:dyDescent="0.3">
      <c r="A21" s="39" t="s">
        <v>9</v>
      </c>
      <c r="B21" s="661"/>
      <c r="C21" s="661"/>
      <c r="D21" s="661"/>
      <c r="E21" s="661"/>
      <c r="F21" s="661"/>
      <c r="I21" s="39"/>
      <c r="J21" s="39"/>
    </row>
    <row r="22" spans="1:10" ht="15.75" customHeight="1" x14ac:dyDescent="0.3">
      <c r="A22" s="39" t="s">
        <v>10</v>
      </c>
      <c r="B22" s="661"/>
      <c r="C22" s="661"/>
      <c r="D22" s="661"/>
      <c r="E22" s="661"/>
      <c r="F22" s="661"/>
      <c r="I22" s="39"/>
      <c r="J22" s="39"/>
    </row>
    <row r="23" spans="1:10" x14ac:dyDescent="0.3">
      <c r="A23" s="39" t="s">
        <v>11</v>
      </c>
      <c r="B23" s="661"/>
      <c r="C23" s="661"/>
      <c r="D23" s="661"/>
      <c r="E23" s="661"/>
      <c r="F23" s="661"/>
      <c r="I23" s="39"/>
      <c r="J23" s="39"/>
    </row>
    <row r="24" spans="1:10" x14ac:dyDescent="0.3">
      <c r="A24" s="39"/>
      <c r="B24" s="39"/>
      <c r="C24" s="39"/>
      <c r="D24" s="39"/>
      <c r="E24" s="39"/>
      <c r="F24" s="39"/>
      <c r="I24" s="39"/>
      <c r="J24" s="39"/>
    </row>
    <row r="25" spans="1:10" x14ac:dyDescent="0.3">
      <c r="A25" s="39" t="s">
        <v>12</v>
      </c>
      <c r="B25" s="661"/>
      <c r="C25" s="661"/>
      <c r="D25" s="661"/>
      <c r="E25" s="661"/>
      <c r="F25" s="661"/>
      <c r="I25" s="39"/>
      <c r="J25" s="39"/>
    </row>
    <row r="26" spans="1:10" x14ac:dyDescent="0.3">
      <c r="A26" s="39"/>
      <c r="B26" s="39"/>
      <c r="C26" s="39"/>
      <c r="D26" s="39"/>
      <c r="E26" s="39"/>
      <c r="F26" s="39"/>
      <c r="I26" s="39"/>
      <c r="J26" s="39"/>
    </row>
    <row r="27" spans="1:10" x14ac:dyDescent="0.3">
      <c r="A27" s="39" t="s">
        <v>13</v>
      </c>
      <c r="B27" s="661"/>
      <c r="C27" s="661"/>
      <c r="D27" s="661"/>
      <c r="E27" s="661"/>
      <c r="F27" s="661"/>
      <c r="I27" s="39"/>
      <c r="J27" s="39"/>
    </row>
    <row r="28" spans="1:10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3">
      <c r="A29" s="39"/>
      <c r="B29" s="39"/>
      <c r="C29" s="39"/>
      <c r="D29" s="39"/>
      <c r="E29" s="39"/>
      <c r="F29" s="39"/>
      <c r="G29" s="39"/>
      <c r="H29" s="39"/>
      <c r="I29" s="39"/>
      <c r="J29" s="39"/>
    </row>
    <row r="31" spans="1:10" x14ac:dyDescent="0.3">
      <c r="A31" s="39" t="s">
        <v>14</v>
      </c>
    </row>
    <row r="33" spans="1:22" x14ac:dyDescent="0.3">
      <c r="A33" s="39" t="s">
        <v>15</v>
      </c>
      <c r="B33" s="39"/>
      <c r="C33" s="406"/>
    </row>
    <row r="34" spans="1:22" x14ac:dyDescent="0.3">
      <c r="A34" s="39" t="s">
        <v>16</v>
      </c>
      <c r="B34" s="39"/>
      <c r="C34" s="406"/>
    </row>
    <row r="35" spans="1:22" x14ac:dyDescent="0.3">
      <c r="A35" s="39" t="s">
        <v>17</v>
      </c>
      <c r="B35" s="39"/>
      <c r="C35" s="592"/>
    </row>
    <row r="36" spans="1:22" x14ac:dyDescent="0.3">
      <c r="A36" s="39" t="s">
        <v>18</v>
      </c>
      <c r="B36" s="39"/>
      <c r="C36" s="592"/>
    </row>
    <row r="37" spans="1:22" x14ac:dyDescent="0.3">
      <c r="A37" s="39" t="s">
        <v>20</v>
      </c>
      <c r="B37" s="39"/>
      <c r="C37" s="416"/>
    </row>
    <row r="38" spans="1:22" x14ac:dyDescent="0.3">
      <c r="A38" s="39" t="s">
        <v>21</v>
      </c>
      <c r="B38" s="39"/>
      <c r="C38" s="593"/>
    </row>
    <row r="39" spans="1:22" x14ac:dyDescent="0.3">
      <c r="A39" s="39" t="s">
        <v>22</v>
      </c>
      <c r="B39" s="39"/>
      <c r="C39" s="593"/>
    </row>
    <row r="40" spans="1:22" x14ac:dyDescent="0.3">
      <c r="A40" s="39" t="s">
        <v>23</v>
      </c>
      <c r="C40" s="498"/>
    </row>
    <row r="41" spans="1:22" ht="13.5" thickBot="1" x14ac:dyDescent="0.35"/>
    <row r="42" spans="1:22" ht="13.5" thickBot="1" x14ac:dyDescent="0.35">
      <c r="A42" s="495" t="s">
        <v>25</v>
      </c>
      <c r="B42" s="595"/>
    </row>
    <row r="43" spans="1:22" ht="13.5" thickBot="1" x14ac:dyDescent="0.35">
      <c r="A43" s="496" t="s">
        <v>26</v>
      </c>
      <c r="B43" s="595"/>
    </row>
    <row r="44" spans="1:22" ht="13.5" thickBot="1" x14ac:dyDescent="0.35">
      <c r="A44" s="496" t="s">
        <v>27</v>
      </c>
      <c r="B44" s="595"/>
    </row>
    <row r="45" spans="1:22" x14ac:dyDescent="0.3">
      <c r="A45" s="496" t="s">
        <v>28</v>
      </c>
      <c r="B45" s="595"/>
      <c r="V45" s="346" t="s">
        <v>19</v>
      </c>
    </row>
    <row r="46" spans="1:22" x14ac:dyDescent="0.3">
      <c r="A46" s="496" t="s">
        <v>29</v>
      </c>
      <c r="B46" s="596"/>
      <c r="V46" s="346" t="s">
        <v>24</v>
      </c>
    </row>
    <row r="47" spans="1:22" x14ac:dyDescent="0.3">
      <c r="A47" s="496" t="s">
        <v>30</v>
      </c>
      <c r="B47" s="596"/>
    </row>
    <row r="48" spans="1:22" x14ac:dyDescent="0.3">
      <c r="A48" s="496" t="s">
        <v>31</v>
      </c>
      <c r="B48" s="596"/>
    </row>
    <row r="49" spans="1:18" x14ac:dyDescent="0.3">
      <c r="A49" s="496" t="s">
        <v>32</v>
      </c>
      <c r="B49" s="596"/>
    </row>
    <row r="50" spans="1:18" ht="13.5" thickBot="1" x14ac:dyDescent="0.35">
      <c r="A50" s="497" t="s">
        <v>33</v>
      </c>
      <c r="B50" s="597"/>
      <c r="C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</row>
    <row r="51" spans="1:18" x14ac:dyDescent="0.3">
      <c r="A51" s="39"/>
      <c r="B51" s="39"/>
      <c r="C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</row>
    <row r="52" spans="1:18" x14ac:dyDescent="0.3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</row>
    <row r="53" spans="1:18" x14ac:dyDescent="0.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</row>
    <row r="54" spans="1:18" x14ac:dyDescent="0.3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</row>
    <row r="55" spans="1:18" x14ac:dyDescent="0.3">
      <c r="A55" s="45" t="s">
        <v>34</v>
      </c>
      <c r="B55" s="45"/>
      <c r="C55" s="44"/>
      <c r="D55" s="44"/>
      <c r="E55" s="44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</row>
    <row r="56" spans="1:18" x14ac:dyDescent="0.3">
      <c r="A56" s="45"/>
      <c r="B56" s="45"/>
      <c r="C56" s="44"/>
      <c r="D56" s="44"/>
      <c r="E56" s="44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</row>
    <row r="57" spans="1:18" ht="13.5" thickBot="1" x14ac:dyDescent="0.35">
      <c r="A57" s="44" t="s">
        <v>35</v>
      </c>
      <c r="B57" s="44"/>
      <c r="C57" s="44"/>
      <c r="D57" s="434"/>
      <c r="E57" s="44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</row>
    <row r="58" spans="1:18" x14ac:dyDescent="0.3">
      <c r="A58" s="44"/>
      <c r="B58" s="44"/>
      <c r="C58" s="467" t="s">
        <v>36</v>
      </c>
      <c r="E58" s="44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</row>
    <row r="59" spans="1:18" ht="14.5" x14ac:dyDescent="0.35">
      <c r="A59" s="44" t="s">
        <v>37</v>
      </c>
      <c r="B59" s="44" t="str">
        <f>"20"&amp;RIGHT('Basic Information'!B1,2)</f>
        <v>2024</v>
      </c>
      <c r="C59" s="468"/>
      <c r="E59" s="46"/>
      <c r="F59" s="39"/>
      <c r="G59" s="39"/>
      <c r="H59" s="38"/>
      <c r="I59" s="38"/>
      <c r="J59" s="38"/>
      <c r="K59" s="39"/>
      <c r="L59" s="39"/>
      <c r="M59" s="39"/>
      <c r="N59" s="39"/>
      <c r="O59" s="39"/>
      <c r="P59" s="39"/>
      <c r="Q59" s="39"/>
      <c r="R59" s="39"/>
    </row>
    <row r="60" spans="1:18" ht="14.5" x14ac:dyDescent="0.35">
      <c r="A60" s="44" t="s">
        <v>38</v>
      </c>
      <c r="B60" s="47" t="str">
        <f>'Basic Information'!B1</f>
        <v>12/31/24</v>
      </c>
      <c r="C60" s="468"/>
      <c r="F60" s="39"/>
      <c r="G60" s="39"/>
      <c r="H60" s="38"/>
      <c r="I60" s="38"/>
      <c r="J60" s="38"/>
      <c r="K60" s="39"/>
      <c r="L60" s="39"/>
      <c r="M60" s="39"/>
      <c r="N60" s="39"/>
      <c r="O60" s="39"/>
      <c r="P60" s="39"/>
      <c r="Q60" s="39"/>
      <c r="R60" s="39"/>
    </row>
    <row r="61" spans="1:18" ht="14.5" x14ac:dyDescent="0.35">
      <c r="A61" s="44" t="s">
        <v>39</v>
      </c>
      <c r="B61" s="47" t="str">
        <f>'Basic Information'!B2</f>
        <v>12/31/23</v>
      </c>
      <c r="C61" s="468"/>
      <c r="F61" s="39"/>
      <c r="G61" s="39"/>
      <c r="H61" s="38"/>
      <c r="I61" s="38"/>
      <c r="J61" s="38"/>
      <c r="K61" s="39"/>
      <c r="L61" s="39"/>
      <c r="M61" s="39"/>
      <c r="N61" s="39"/>
      <c r="O61" s="39"/>
      <c r="P61" s="39"/>
      <c r="Q61" s="39"/>
      <c r="R61" s="39"/>
    </row>
    <row r="62" spans="1:18" ht="14.5" x14ac:dyDescent="0.35">
      <c r="A62"/>
      <c r="B62"/>
      <c r="C62"/>
      <c r="D62"/>
      <c r="E62"/>
      <c r="F62" s="39"/>
      <c r="G62" s="39"/>
      <c r="H62" s="38"/>
      <c r="I62" s="38"/>
      <c r="J62" s="38"/>
      <c r="K62" s="39"/>
      <c r="L62" s="39"/>
      <c r="M62" s="39"/>
      <c r="N62" s="39"/>
      <c r="O62" s="39"/>
      <c r="P62" s="39"/>
      <c r="Q62" s="39"/>
      <c r="R62" s="39"/>
    </row>
    <row r="63" spans="1:18" x14ac:dyDescent="0.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</row>
    <row r="64" spans="1:18" x14ac:dyDescent="0.3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</row>
    <row r="65" spans="1:18" x14ac:dyDescent="0.3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</row>
    <row r="66" spans="1:18" x14ac:dyDescent="0.3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</row>
    <row r="67" spans="1:18" x14ac:dyDescent="0.3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</row>
    <row r="68" spans="1:18" x14ac:dyDescent="0.3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</row>
    <row r="73" spans="1:18" ht="14.5" x14ac:dyDescent="0.35">
      <c r="C73" s="5"/>
      <c r="D73" s="10"/>
    </row>
    <row r="74" spans="1:18" ht="14.5" x14ac:dyDescent="0.35">
      <c r="C74" s="9"/>
      <c r="D74" s="6"/>
      <c r="E74" s="9"/>
      <c r="F74" s="6"/>
      <c r="G74" s="6"/>
      <c r="H74" s="6"/>
      <c r="I74" s="6"/>
      <c r="J74" s="6"/>
    </row>
    <row r="75" spans="1:18" ht="14.5" x14ac:dyDescent="0.35">
      <c r="C75" s="6"/>
      <c r="D75" s="4"/>
      <c r="E75" s="4"/>
      <c r="F75" s="4"/>
      <c r="G75" s="4"/>
      <c r="H75" s="4"/>
      <c r="I75" s="4"/>
      <c r="J75" s="4"/>
    </row>
    <row r="76" spans="1:18" ht="14.5" x14ac:dyDescent="0.35">
      <c r="C76" s="7"/>
      <c r="D76" s="4"/>
      <c r="E76" s="4"/>
      <c r="F76" s="4"/>
      <c r="G76" s="4"/>
      <c r="H76" s="4"/>
      <c r="I76" s="4"/>
      <c r="J76" s="4"/>
    </row>
    <row r="77" spans="1:18" ht="14.5" x14ac:dyDescent="0.35">
      <c r="C77" s="7"/>
      <c r="D77" s="4"/>
      <c r="E77" s="4"/>
      <c r="F77" s="4"/>
      <c r="G77" s="4"/>
      <c r="H77" s="4"/>
      <c r="I77" s="4"/>
      <c r="J77" s="4"/>
    </row>
    <row r="78" spans="1:18" ht="14.5" x14ac:dyDescent="0.35">
      <c r="C78" s="7"/>
      <c r="D78" s="4"/>
      <c r="E78" s="4"/>
      <c r="F78" s="4"/>
      <c r="G78" s="4"/>
      <c r="H78" s="4"/>
      <c r="I78" s="4"/>
      <c r="J78" s="4"/>
    </row>
    <row r="79" spans="1:18" ht="14.5" x14ac:dyDescent="0.35">
      <c r="C79" s="7"/>
      <c r="D79" s="4"/>
      <c r="E79" s="4"/>
      <c r="F79" s="4"/>
      <c r="G79" s="4"/>
      <c r="H79" s="4"/>
      <c r="I79" s="4"/>
      <c r="J79" s="4"/>
    </row>
    <row r="80" spans="1:18" ht="14.5" x14ac:dyDescent="0.35">
      <c r="C80" s="8"/>
      <c r="D80" s="4"/>
      <c r="E80" s="4"/>
      <c r="F80" s="4"/>
      <c r="G80" s="4"/>
      <c r="H80" s="4"/>
      <c r="I80" s="4"/>
      <c r="J80" s="4"/>
      <c r="K80" s="4"/>
    </row>
    <row r="81" spans="3:11" ht="14.5" x14ac:dyDescent="0.35">
      <c r="C81" s="7"/>
      <c r="D81" s="5"/>
      <c r="E81" s="5"/>
      <c r="F81" s="4"/>
      <c r="G81" s="4"/>
      <c r="H81" s="4"/>
      <c r="I81" s="4"/>
      <c r="J81" s="4"/>
      <c r="K81" s="4"/>
    </row>
    <row r="82" spans="3:11" ht="14.5" x14ac:dyDescent="0.35">
      <c r="C82" s="5"/>
      <c r="D82" s="5"/>
      <c r="E82" s="5"/>
      <c r="F82" s="4"/>
      <c r="G82" s="4"/>
      <c r="H82" s="4"/>
      <c r="I82" s="4"/>
      <c r="J82" s="4"/>
      <c r="K82" s="4"/>
    </row>
    <row r="83" spans="3:11" ht="14.5" x14ac:dyDescent="0.35">
      <c r="C83" s="5"/>
      <c r="D83" s="5"/>
      <c r="E83" s="5"/>
      <c r="F83" s="4"/>
      <c r="G83" s="4"/>
      <c r="H83" s="4"/>
      <c r="I83" s="4"/>
      <c r="J83" s="4"/>
      <c r="K83" s="4"/>
    </row>
    <row r="84" spans="3:11" ht="14.5" x14ac:dyDescent="0.35">
      <c r="C84" s="5"/>
      <c r="D84" s="5"/>
      <c r="E84" s="5"/>
      <c r="F84" s="4"/>
      <c r="G84" s="4"/>
      <c r="H84" s="4"/>
      <c r="I84" s="4"/>
      <c r="J84" s="4"/>
    </row>
    <row r="85" spans="3:11" ht="14.5" x14ac:dyDescent="0.35">
      <c r="D85" s="4"/>
      <c r="E85" s="4"/>
      <c r="F85" s="4"/>
      <c r="G85" s="4"/>
      <c r="H85" s="4"/>
      <c r="I85" s="4"/>
      <c r="J85" s="4"/>
    </row>
    <row r="86" spans="3:11" ht="14.5" x14ac:dyDescent="0.35">
      <c r="D86" s="4"/>
      <c r="E86" s="4"/>
      <c r="F86" s="4"/>
      <c r="G86" s="4"/>
      <c r="H86" s="4"/>
      <c r="I86" s="4"/>
      <c r="J86" s="4"/>
    </row>
    <row r="95" spans="3:11" ht="14.5" x14ac:dyDescent="0.35">
      <c r="K95" s="6"/>
    </row>
    <row r="96" spans="3:11" ht="14.5" x14ac:dyDescent="0.35">
      <c r="K96" s="4"/>
    </row>
    <row r="97" spans="11:18" ht="14.5" x14ac:dyDescent="0.35">
      <c r="K97" s="4"/>
    </row>
    <row r="98" spans="11:18" ht="14.5" x14ac:dyDescent="0.35">
      <c r="K98" s="4"/>
    </row>
    <row r="99" spans="11:18" ht="14.5" x14ac:dyDescent="0.35">
      <c r="K99" s="4"/>
    </row>
    <row r="100" spans="11:18" ht="14.5" x14ac:dyDescent="0.35">
      <c r="K100" s="4"/>
    </row>
    <row r="101" spans="11:18" ht="14.5" x14ac:dyDescent="0.35">
      <c r="K101" s="4"/>
    </row>
    <row r="102" spans="11:18" ht="14.5" x14ac:dyDescent="0.35">
      <c r="K102" s="4"/>
    </row>
    <row r="103" spans="11:18" ht="14.5" x14ac:dyDescent="0.35">
      <c r="K103" s="4"/>
    </row>
    <row r="104" spans="11:18" ht="14.5" x14ac:dyDescent="0.35">
      <c r="K104" s="4"/>
    </row>
    <row r="105" spans="11:18" ht="14.5" x14ac:dyDescent="0.35">
      <c r="K105" s="4"/>
    </row>
    <row r="106" spans="11:18" ht="14.5" x14ac:dyDescent="0.35">
      <c r="K106" s="4"/>
    </row>
    <row r="107" spans="11:18" ht="14.5" x14ac:dyDescent="0.35">
      <c r="K107" s="4"/>
    </row>
    <row r="111" spans="11:18" ht="14.5" x14ac:dyDescent="0.35">
      <c r="L111" s="4"/>
      <c r="M111" s="4"/>
      <c r="N111" s="4"/>
      <c r="O111" s="4"/>
      <c r="P111" s="4"/>
      <c r="Q111" s="4"/>
      <c r="R111" s="4"/>
    </row>
    <row r="112" spans="11:18" ht="14.5" x14ac:dyDescent="0.35">
      <c r="L112" s="4"/>
      <c r="M112" s="4"/>
      <c r="N112" s="4"/>
      <c r="O112" s="4"/>
      <c r="P112" s="4"/>
      <c r="Q112" s="4"/>
      <c r="R112" s="4"/>
    </row>
    <row r="113" spans="12:18" ht="14.5" x14ac:dyDescent="0.35">
      <c r="L113" s="4"/>
      <c r="M113" s="4"/>
      <c r="N113" s="4"/>
      <c r="O113" s="4"/>
      <c r="P113" s="4"/>
      <c r="Q113" s="4"/>
      <c r="R113" s="4"/>
    </row>
    <row r="114" spans="12:18" ht="14.5" x14ac:dyDescent="0.35">
      <c r="L114" s="4"/>
      <c r="M114" s="4"/>
      <c r="N114" s="4"/>
      <c r="O114" s="4"/>
      <c r="P114" s="4"/>
      <c r="Q114" s="4"/>
      <c r="R114" s="4"/>
    </row>
    <row r="126" spans="12:18" ht="14.5" x14ac:dyDescent="0.35">
      <c r="L126" s="6"/>
      <c r="M126" s="6"/>
      <c r="N126" s="6"/>
      <c r="O126" s="6"/>
      <c r="P126" s="9"/>
      <c r="Q126" s="4"/>
      <c r="R126" s="4"/>
    </row>
    <row r="127" spans="12:18" ht="14.5" x14ac:dyDescent="0.35">
      <c r="L127" s="4"/>
      <c r="M127" s="4"/>
      <c r="N127" s="4"/>
      <c r="O127" s="4"/>
      <c r="P127" s="4"/>
      <c r="Q127" s="4"/>
      <c r="R127" s="4"/>
    </row>
    <row r="128" spans="12:18" ht="14.5" x14ac:dyDescent="0.35">
      <c r="L128" s="4"/>
      <c r="M128" s="4"/>
      <c r="N128" s="4"/>
      <c r="O128" s="4"/>
      <c r="P128" s="4"/>
      <c r="Q128" s="4"/>
      <c r="R128" s="4"/>
    </row>
    <row r="129" spans="12:18" ht="14.5" x14ac:dyDescent="0.35">
      <c r="L129" s="4"/>
      <c r="M129" s="4"/>
      <c r="N129" s="4"/>
      <c r="O129" s="4"/>
      <c r="P129" s="4"/>
      <c r="Q129" s="4"/>
      <c r="R129" s="4"/>
    </row>
    <row r="130" spans="12:18" ht="14.5" x14ac:dyDescent="0.35">
      <c r="L130" s="4"/>
      <c r="M130" s="4"/>
      <c r="N130" s="4"/>
      <c r="O130" s="4"/>
      <c r="P130" s="4"/>
      <c r="Q130" s="4"/>
      <c r="R130" s="4"/>
    </row>
    <row r="131" spans="12:18" ht="14.5" x14ac:dyDescent="0.35">
      <c r="L131" s="4"/>
      <c r="M131" s="4"/>
      <c r="N131" s="4"/>
      <c r="O131" s="4"/>
      <c r="P131" s="4"/>
      <c r="Q131" s="4"/>
      <c r="R131" s="4"/>
    </row>
    <row r="132" spans="12:18" ht="14.5" x14ac:dyDescent="0.35">
      <c r="L132" s="4"/>
      <c r="M132" s="4"/>
      <c r="N132" s="4"/>
      <c r="O132" s="4"/>
      <c r="P132" s="4"/>
      <c r="Q132" s="4"/>
      <c r="R132" s="4"/>
    </row>
    <row r="133" spans="12:18" ht="14.5" x14ac:dyDescent="0.35">
      <c r="L133" s="4"/>
      <c r="M133" s="4"/>
      <c r="N133" s="4"/>
      <c r="O133" s="4"/>
      <c r="P133" s="4"/>
      <c r="Q133" s="4"/>
      <c r="R133" s="4"/>
    </row>
    <row r="134" spans="12:18" ht="14.5" x14ac:dyDescent="0.35">
      <c r="L134" s="4"/>
      <c r="M134" s="4"/>
      <c r="N134" s="4"/>
      <c r="O134" s="4"/>
      <c r="P134" s="4"/>
      <c r="Q134" s="4"/>
      <c r="R134" s="4"/>
    </row>
    <row r="135" spans="12:18" ht="14.5" x14ac:dyDescent="0.35">
      <c r="L135" s="4"/>
      <c r="M135" s="4"/>
      <c r="N135" s="4"/>
      <c r="O135" s="4"/>
      <c r="P135" s="4"/>
      <c r="Q135" s="4"/>
      <c r="R135" s="4"/>
    </row>
    <row r="136" spans="12:18" ht="14.5" x14ac:dyDescent="0.35">
      <c r="L136" s="4"/>
      <c r="M136" s="4"/>
      <c r="N136" s="4"/>
      <c r="O136" s="4"/>
      <c r="P136" s="4"/>
      <c r="Q136" s="4"/>
      <c r="R136" s="4"/>
    </row>
    <row r="137" spans="12:18" ht="14.5" x14ac:dyDescent="0.35">
      <c r="L137" s="4"/>
      <c r="M137" s="4"/>
      <c r="N137" s="4"/>
      <c r="O137" s="4"/>
      <c r="P137" s="4"/>
      <c r="Q137" s="4"/>
      <c r="R137" s="4"/>
    </row>
    <row r="138" spans="12:18" ht="14.5" x14ac:dyDescent="0.35">
      <c r="L138" s="4"/>
      <c r="M138" s="4"/>
      <c r="N138" s="4"/>
      <c r="O138" s="4"/>
      <c r="P138" s="4"/>
      <c r="Q138" s="4"/>
      <c r="R138" s="4"/>
    </row>
  </sheetData>
  <mergeCells count="11">
    <mergeCell ref="B19:F19"/>
    <mergeCell ref="B21:F21"/>
    <mergeCell ref="B22:F22"/>
    <mergeCell ref="B23:F23"/>
    <mergeCell ref="B27:F27"/>
    <mergeCell ref="B25:F25"/>
    <mergeCell ref="B11:F11"/>
    <mergeCell ref="B13:F13"/>
    <mergeCell ref="B14:F14"/>
    <mergeCell ref="B15:F15"/>
    <mergeCell ref="B17:F17"/>
  </mergeCells>
  <phoneticPr fontId="0" type="noConversion"/>
  <dataValidations count="2">
    <dataValidation type="list" allowBlank="1" showInputMessage="1" showErrorMessage="1" sqref="C35:C36 C40" xr:uid="{00000000-0002-0000-0000-000000000000}">
      <formula1>$V$45:$V$46</formula1>
    </dataValidation>
    <dataValidation type="list" allowBlank="1" showInputMessage="1" showErrorMessage="1" sqref="C37" xr:uid="{00000000-0002-0000-0000-000001000000}">
      <formula1>" ,Yes,No"</formula1>
    </dataValidation>
  </dataValidations>
  <pageMargins left="0.21" right="0.27" top="0.98425196850393704" bottom="0.98425196850393704" header="0.511811023622047" footer="0.511811023622047"/>
  <pageSetup paperSize="9" scale="70" fitToHeight="2" orientation="portrait" r:id="rId1"/>
  <headerFooter>
    <oddFooter>&amp;C&amp;8&amp;F/&amp;A_x000D_&amp;D_x000D_&amp;T&amp;R&amp;"Arial,Bold"&amp;8Manager:............._x000D_Senior:................_x000D_Staff:..................._x000D__x000D_&amp;12_x000D_D-</oddFooter>
  </headerFooter>
  <rowBreaks count="1" manualBreakCount="1">
    <brk id="56" max="11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>
    <tabColor theme="3" tint="-0.249977111117893"/>
    <pageSetUpPr fitToPage="1"/>
  </sheetPr>
  <dimension ref="A1:Y57"/>
  <sheetViews>
    <sheetView tabSelected="1" zoomScale="64" zoomScaleNormal="64" workbookViewId="0">
      <selection activeCell="S21" sqref="S21"/>
    </sheetView>
  </sheetViews>
  <sheetFormatPr defaultColWidth="9.7265625" defaultRowHeight="12.5" x14ac:dyDescent="0.25"/>
  <cols>
    <col min="1" max="1" width="3.7265625" style="15" customWidth="1"/>
    <col min="2" max="2" width="51.26953125" style="15" customWidth="1"/>
    <col min="3" max="3" width="12.26953125" style="15" customWidth="1"/>
    <col min="4" max="4" width="12.81640625" style="15" customWidth="1"/>
    <col min="5" max="5" width="5" style="15" customWidth="1"/>
    <col min="6" max="6" width="18" style="15" customWidth="1"/>
    <col min="7" max="7" width="5.1796875" style="15" customWidth="1"/>
    <col min="8" max="8" width="19" style="15" customWidth="1"/>
    <col min="9" max="9" width="5" style="15" customWidth="1"/>
    <col min="10" max="10" width="18.81640625" style="15" customWidth="1"/>
    <col min="11" max="11" width="5" style="15" customWidth="1"/>
    <col min="12" max="12" width="17.1796875" style="15" customWidth="1"/>
    <col min="13" max="13" width="4.7265625" style="15" customWidth="1"/>
    <col min="14" max="14" width="18" style="15" customWidth="1"/>
    <col min="15" max="15" width="1.453125" style="15" customWidth="1"/>
    <col min="16" max="16" width="10.54296875" style="15" customWidth="1"/>
    <col min="17" max="17" width="1.26953125" style="15" customWidth="1"/>
    <col min="18" max="18" width="15.7265625" style="15" customWidth="1"/>
    <col min="19" max="16384" width="9.7265625" style="15"/>
  </cols>
  <sheetData>
    <row r="1" spans="1:25" customFormat="1" ht="13" x14ac:dyDescent="0.3">
      <c r="A1" s="672">
        <f>'Basic Information'!B4</f>
        <v>0</v>
      </c>
      <c r="B1" s="673"/>
      <c r="C1" s="673"/>
      <c r="D1" s="673"/>
      <c r="E1" s="673"/>
      <c r="F1" s="673"/>
      <c r="G1" s="673"/>
      <c r="H1" s="673"/>
      <c r="I1" s="673"/>
      <c r="J1" s="673"/>
      <c r="K1" s="673"/>
      <c r="L1" s="673"/>
      <c r="M1" s="673"/>
      <c r="N1" s="673"/>
      <c r="O1" s="673"/>
      <c r="U1" s="464" t="s">
        <v>19</v>
      </c>
    </row>
    <row r="2" spans="1:25" customFormat="1" ht="13" x14ac:dyDescent="0.3">
      <c r="A2" s="674" t="s">
        <v>40</v>
      </c>
      <c r="B2" s="675"/>
      <c r="C2" s="675"/>
      <c r="D2" s="675"/>
      <c r="E2" s="675"/>
      <c r="F2" s="675"/>
      <c r="G2" s="675"/>
      <c r="H2" s="675"/>
      <c r="I2" s="675"/>
      <c r="J2" s="675"/>
      <c r="K2" s="675"/>
      <c r="L2" s="675"/>
      <c r="M2" s="675"/>
      <c r="N2" s="675"/>
      <c r="O2" s="675"/>
      <c r="U2" s="464" t="s">
        <v>24</v>
      </c>
    </row>
    <row r="3" spans="1:25" ht="13" x14ac:dyDescent="0.3"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</row>
    <row r="4" spans="1:25" customFormat="1" ht="13" x14ac:dyDescent="0.3">
      <c r="A4" s="598"/>
      <c r="B4" s="39" t="inlineStr">
        <is>
          <t xml:space="preserve">Total shares outstanding (leave blank to use the direct-holder total)</t>
        </is>
      </c>
      <c r="C4" s="39"/>
      <c r="D4" s="39"/>
      <c r="E4" s="39"/>
      <c r="F4" s="371"/>
      <c r="G4" s="372"/>
      <c r="H4" s="371"/>
      <c r="J4" s="371"/>
    </row>
    <row r="5" spans="1:25" ht="13.5" thickBot="1" x14ac:dyDescent="0.35">
      <c r="A5" s="670" t="s">
        <v>41</v>
      </c>
      <c r="B5" s="671"/>
      <c r="C5" s="671"/>
      <c r="D5" s="671"/>
      <c r="E5" s="671"/>
      <c r="F5" s="599"/>
      <c r="G5" s="372"/>
      <c r="H5" s="371"/>
      <c r="I5"/>
      <c r="J5"/>
      <c r="K5"/>
      <c r="L5"/>
      <c r="M5"/>
      <c r="N5"/>
    </row>
    <row r="6" spans="1:25" ht="13" x14ac:dyDescent="0.3">
      <c r="A6" s="392"/>
      <c r="B6" s="391" t="s">
        <v>42</v>
      </c>
      <c r="C6" s="391"/>
      <c r="D6" s="391"/>
      <c r="E6" s="398" t="s">
        <v>43</v>
      </c>
      <c r="F6" s="394" t="s">
        <v>44</v>
      </c>
      <c r="G6" s="398" t="s">
        <v>43</v>
      </c>
      <c r="H6" s="391" t="s">
        <v>45</v>
      </c>
      <c r="I6" s="398" t="s">
        <v>43</v>
      </c>
      <c r="J6" s="391" t="s">
        <v>46</v>
      </c>
      <c r="K6" s="398"/>
      <c r="L6" s="394" t="s">
        <v>47</v>
      </c>
      <c r="M6" s="398"/>
      <c r="N6" s="402" t="s">
        <v>48</v>
      </c>
      <c r="P6" s="465" t="s">
        <v>49</v>
      </c>
    </row>
    <row r="7" spans="1:25" ht="13" x14ac:dyDescent="0.3">
      <c r="A7" s="373" t="s">
        <v>50</v>
      </c>
      <c r="B7" s="393" t="str">
        <f>B19</f>
        <v>A</v>
      </c>
      <c r="C7" s="393"/>
      <c r="D7" s="393"/>
      <c r="E7" s="377"/>
      <c r="F7" s="101"/>
      <c r="G7" s="400"/>
      <c r="H7" s="101">
        <f>H19</f>
        <v>60</v>
      </c>
      <c r="I7" s="378"/>
      <c r="J7" s="101">
        <f>J19</f>
        <v>60</v>
      </c>
      <c r="K7" s="378"/>
      <c r="L7" s="407">
        <f>IFERROR(H7/IF($H$4&gt;0,$H$4,$H$27),0)</f>
      </c>
      <c r="M7" s="378"/>
      <c r="N7" s="410">
        <f>IFERROR(J7/IF($J$4&gt;0,$J$4,$J$27),0)</f>
      </c>
      <c r="P7" s="604"/>
    </row>
    <row r="8" spans="1:25" ht="13" x14ac:dyDescent="0.3">
      <c r="A8" s="373" t="s">
        <v>51</v>
      </c>
      <c r="B8" s="601"/>
      <c r="C8" s="601"/>
      <c r="D8" s="601"/>
      <c r="E8" s="378"/>
      <c r="F8" s="601"/>
      <c r="G8" s="400"/>
      <c r="H8" s="601"/>
      <c r="I8" s="378"/>
      <c r="J8" s="601"/>
      <c r="K8" s="378"/>
      <c r="L8" s="408">
        <f t="shared" ref="L8:L14" si="0">IFERROR(H8/IF($H$4&gt;0,$H$4,$H$27),0)</f>
      </c>
      <c r="M8" s="378"/>
      <c r="N8" s="411">
        <f t="shared" ref="N8:N14" si="1">IFERROR(J8/IF($J$4&gt;0,$J$4,$J$27),0)</f>
      </c>
      <c r="P8" s="605"/>
    </row>
    <row r="9" spans="1:25" ht="13" x14ac:dyDescent="0.3">
      <c r="A9" s="373" t="s">
        <v>52</v>
      </c>
      <c r="B9" s="601"/>
      <c r="C9" s="601"/>
      <c r="D9" s="601"/>
      <c r="E9" s="377"/>
      <c r="F9" s="601"/>
      <c r="G9" s="400"/>
      <c r="H9" s="601"/>
      <c r="I9" s="378"/>
      <c r="J9" s="601"/>
      <c r="K9" s="378"/>
      <c r="L9" s="409">
        <f t="shared" si="0"/>
        <v>0</v>
      </c>
      <c r="M9" s="378"/>
      <c r="N9" s="411">
        <f t="shared" si="1"/>
        <v>0</v>
      </c>
      <c r="P9" s="605"/>
    </row>
    <row r="10" spans="1:25" ht="13" x14ac:dyDescent="0.3">
      <c r="A10" s="373" t="s">
        <v>53</v>
      </c>
      <c r="B10" s="601"/>
      <c r="C10" s="601"/>
      <c r="D10" s="601"/>
      <c r="E10" s="377"/>
      <c r="F10" s="601"/>
      <c r="G10" s="400"/>
      <c r="H10" s="601"/>
      <c r="I10" s="378"/>
      <c r="J10" s="601"/>
      <c r="K10" s="378"/>
      <c r="L10" s="409">
        <f t="shared" si="0"/>
        <v>0</v>
      </c>
      <c r="M10" s="378"/>
      <c r="N10" s="411">
        <f t="shared" si="1"/>
        <v>0</v>
      </c>
      <c r="P10" s="605"/>
    </row>
    <row r="11" spans="1:25" ht="13" x14ac:dyDescent="0.3">
      <c r="A11" s="373" t="s">
        <v>54</v>
      </c>
      <c r="B11" s="601"/>
      <c r="C11" s="601"/>
      <c r="D11" s="601"/>
      <c r="E11" s="377"/>
      <c r="F11" s="601"/>
      <c r="G11" s="400"/>
      <c r="H11" s="601"/>
      <c r="I11" s="378"/>
      <c r="J11" s="601"/>
      <c r="K11" s="378"/>
      <c r="L11" s="409">
        <f t="shared" si="0"/>
        <v>0</v>
      </c>
      <c r="M11" s="378"/>
      <c r="N11" s="411">
        <f t="shared" si="1"/>
        <v>0</v>
      </c>
      <c r="P11" s="605"/>
    </row>
    <row r="12" spans="1:25" ht="13" x14ac:dyDescent="0.3">
      <c r="A12" s="373" t="s">
        <v>55</v>
      </c>
      <c r="B12" s="601"/>
      <c r="C12" s="601"/>
      <c r="D12" s="601"/>
      <c r="E12" s="378"/>
      <c r="F12" s="602"/>
      <c r="G12" s="400"/>
      <c r="H12" s="602"/>
      <c r="I12" s="378"/>
      <c r="J12" s="602"/>
      <c r="K12" s="378"/>
      <c r="L12" s="409">
        <f t="shared" si="0"/>
        <v>0</v>
      </c>
      <c r="M12" s="378"/>
      <c r="N12" s="411">
        <f t="shared" si="1"/>
        <v>0</v>
      </c>
      <c r="P12" s="605"/>
    </row>
    <row r="13" spans="1:25" ht="13" x14ac:dyDescent="0.3">
      <c r="A13" s="373" t="s">
        <v>56</v>
      </c>
      <c r="B13" s="601"/>
      <c r="C13" s="601"/>
      <c r="D13" s="601"/>
      <c r="E13" s="378"/>
      <c r="F13" s="602"/>
      <c r="G13" s="400"/>
      <c r="H13" s="602"/>
      <c r="I13" s="378"/>
      <c r="J13" s="602"/>
      <c r="K13" s="378"/>
      <c r="L13" s="409">
        <f t="shared" si="0"/>
        <v>0</v>
      </c>
      <c r="M13" s="378"/>
      <c r="N13" s="411">
        <f t="shared" si="1"/>
        <v>0</v>
      </c>
      <c r="P13" s="605"/>
    </row>
    <row r="14" spans="1:25" ht="13" x14ac:dyDescent="0.3">
      <c r="A14" s="373" t="s">
        <v>57</v>
      </c>
      <c r="B14" s="601"/>
      <c r="C14" s="601"/>
      <c r="D14" s="601"/>
      <c r="E14" s="378"/>
      <c r="F14" s="602"/>
      <c r="G14" s="400"/>
      <c r="H14" s="602"/>
      <c r="I14" s="378"/>
      <c r="J14" s="602"/>
      <c r="K14" s="378"/>
      <c r="L14" s="409">
        <f t="shared" si="0"/>
        <v>0</v>
      </c>
      <c r="M14" s="378"/>
      <c r="N14" s="411">
        <f t="shared" si="1"/>
        <v>0</v>
      </c>
      <c r="P14" s="605"/>
    </row>
    <row r="15" spans="1:25" ht="13.5" thickBot="1" x14ac:dyDescent="0.35">
      <c r="A15" s="395"/>
      <c r="B15" s="84" t="s">
        <v>58</v>
      </c>
      <c r="C15" s="84"/>
      <c r="D15" s="84"/>
      <c r="E15" s="399"/>
      <c r="F15" s="396"/>
      <c r="G15" s="401"/>
      <c r="H15" s="396">
        <f>SUM(H7:H14)</f>
        <v>60</v>
      </c>
      <c r="I15" s="399"/>
      <c r="J15" s="396">
        <f>SUM(J7:J14)</f>
        <v>60</v>
      </c>
      <c r="K15" s="399"/>
      <c r="L15" s="412">
        <f>SUM(L7:L14)</f>
        <v>1</v>
      </c>
      <c r="M15" s="399"/>
      <c r="N15" s="413">
        <f>SUM(N7:N14)</f>
        <v>0.6</v>
      </c>
      <c r="P15" s="413">
        <f>SUM(P7:P14)</f>
        <v>0</v>
      </c>
    </row>
    <row r="16" spans="1:25" ht="13.5" thickBot="1" x14ac:dyDescent="0.35">
      <c r="H16" s="403"/>
      <c r="I16" s="404"/>
      <c r="J16" s="405" t="s">
        <v>59</v>
      </c>
      <c r="K16" s="404"/>
      <c r="L16" s="414">
        <f>SUMIF(L$7:L$14,"&gt;=0.1",L$7:L$14)</f>
        <v>1</v>
      </c>
      <c r="M16" s="404"/>
      <c r="N16" s="415">
        <f>SUMIF(N$7:N$14,"&gt;=0.1",N$7:N$14)</f>
        <v>0.6</v>
      </c>
    </row>
    <row r="17" spans="1:25" customFormat="1" ht="13.5" thickBot="1" x14ac:dyDescent="0.35">
      <c r="A17" s="667" t="s">
        <v>60</v>
      </c>
      <c r="B17" s="668"/>
      <c r="C17" s="668"/>
      <c r="D17" s="668"/>
      <c r="E17" s="669"/>
      <c r="F17" s="371"/>
      <c r="G17" s="372"/>
      <c r="H17" s="371"/>
    </row>
    <row r="18" spans="1:25" ht="24.75" customHeight="1" x14ac:dyDescent="0.3">
      <c r="A18" s="392"/>
      <c r="B18" s="394" t="s">
        <v>42</v>
      </c>
      <c r="C18" s="394" t="s">
        <v>61</v>
      </c>
      <c r="D18" s="463" t="s">
        <v>62</v>
      </c>
      <c r="E18" s="398" t="s">
        <v>43</v>
      </c>
      <c r="F18" s="394" t="s">
        <v>44</v>
      </c>
      <c r="G18" s="398" t="s">
        <v>43</v>
      </c>
      <c r="H18" s="391" t="s">
        <v>45</v>
      </c>
      <c r="I18" s="398" t="s">
        <v>43</v>
      </c>
      <c r="J18" s="391" t="s">
        <v>46</v>
      </c>
      <c r="K18" s="398"/>
      <c r="L18" s="394" t="s">
        <v>47</v>
      </c>
      <c r="M18" s="398"/>
      <c r="N18" s="402" t="s">
        <v>48</v>
      </c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</row>
    <row r="19" spans="1:25" ht="13" x14ac:dyDescent="0.3">
      <c r="A19" s="373" t="s">
        <v>50</v>
      </c>
      <c r="B19" s="393" t="s">
        <v>790</v>
      </c>
      <c r="C19" s="596"/>
      <c r="D19" s="596"/>
      <c r="E19" s="377"/>
      <c r="F19" s="602"/>
      <c r="G19" s="400"/>
      <c r="H19" s="602">
        <v>60</v>
      </c>
      <c r="I19" s="378"/>
      <c r="J19" s="602">
        <v>60</v>
      </c>
      <c r="K19" s="378"/>
      <c r="L19" s="407">
        <f t="shared" ref="L19:L26" si="2">IFERROR(H19/IF($H$4&gt;0,$H$4,$H$27),0)</f>
      </c>
      <c r="M19" s="378"/>
      <c r="N19" s="410">
        <f>IFERROR(J19/IF($J$4&gt;0,$J$4,$J$27),0)</f>
      </c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</row>
    <row r="20" spans="1:25" ht="13" x14ac:dyDescent="0.3">
      <c r="A20" s="373" t="s">
        <v>51</v>
      </c>
      <c r="B20" s="601" t="s">
        <v>791</v>
      </c>
      <c r="C20" s="596"/>
      <c r="D20" s="596"/>
      <c r="E20" s="378"/>
      <c r="F20" s="601"/>
      <c r="G20" s="400"/>
      <c r="H20" s="601"/>
      <c r="I20" s="378"/>
      <c r="J20" s="601">
        <v>20</v>
      </c>
      <c r="K20" s="378"/>
      <c r="L20" s="408">
        <f t="shared" si="2"/>
        <v>0</v>
      </c>
      <c r="M20" s="378"/>
      <c r="N20" s="411">
        <f t="shared" ref="N20:N26" si="3">IFERROR(J20/IF($J$4&gt;0,$J$4,$J$27),0)</f>
      </c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</row>
    <row r="21" spans="1:25" ht="13" x14ac:dyDescent="0.3">
      <c r="A21" s="373" t="s">
        <v>52</v>
      </c>
      <c r="B21" s="601" t="s">
        <v>792</v>
      </c>
      <c r="C21" s="596"/>
      <c r="D21" s="596"/>
      <c r="E21" s="377"/>
      <c r="F21" s="601"/>
      <c r="G21" s="400"/>
      <c r="H21" s="601"/>
      <c r="I21" s="378"/>
      <c r="J21" s="601">
        <v>10</v>
      </c>
      <c r="K21" s="378"/>
      <c r="L21" s="409">
        <f t="shared" si="2"/>
        <v>0</v>
      </c>
      <c r="M21" s="378"/>
      <c r="N21" s="411">
        <f t="shared" si="3"/>
        <v>0.1</v>
      </c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</row>
    <row r="22" spans="1:25" ht="13" x14ac:dyDescent="0.3">
      <c r="A22" s="373" t="s">
        <v>53</v>
      </c>
      <c r="B22" s="601" t="s">
        <v>793</v>
      </c>
      <c r="C22" s="596"/>
      <c r="D22" s="596"/>
      <c r="E22" s="377"/>
      <c r="F22" s="601"/>
      <c r="G22" s="400"/>
      <c r="H22" s="601"/>
      <c r="I22" s="378"/>
      <c r="J22" s="601">
        <v>10</v>
      </c>
      <c r="K22" s="378"/>
      <c r="L22" s="409">
        <f t="shared" si="2"/>
        <v>0</v>
      </c>
      <c r="M22" s="378"/>
      <c r="N22" s="411">
        <f t="shared" si="3"/>
        <v>0.1</v>
      </c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</row>
    <row r="23" spans="1:25" ht="13" x14ac:dyDescent="0.3">
      <c r="A23" s="373" t="s">
        <v>54</v>
      </c>
      <c r="B23" s="601"/>
      <c r="C23" s="596"/>
      <c r="D23" s="596"/>
      <c r="E23" s="377"/>
      <c r="F23" s="601"/>
      <c r="G23" s="400"/>
      <c r="H23" s="601"/>
      <c r="I23" s="378"/>
      <c r="J23" s="601"/>
      <c r="K23" s="378"/>
      <c r="L23" s="409">
        <f t="shared" si="2"/>
        <v>0</v>
      </c>
      <c r="M23" s="378"/>
      <c r="N23" s="411">
        <f t="shared" si="3"/>
        <v>0</v>
      </c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</row>
    <row r="24" spans="1:25" ht="13" x14ac:dyDescent="0.3">
      <c r="A24" s="373" t="s">
        <v>55</v>
      </c>
      <c r="B24" s="601"/>
      <c r="C24" s="596"/>
      <c r="D24" s="596"/>
      <c r="E24" s="378"/>
      <c r="F24" s="602"/>
      <c r="G24" s="400"/>
      <c r="H24" s="602"/>
      <c r="I24" s="378"/>
      <c r="J24" s="602"/>
      <c r="K24" s="378"/>
      <c r="L24" s="409">
        <f t="shared" si="2"/>
        <v>0</v>
      </c>
      <c r="M24" s="378"/>
      <c r="N24" s="411">
        <f t="shared" si="3"/>
        <v>0</v>
      </c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</row>
    <row r="25" spans="1:25" ht="13" x14ac:dyDescent="0.3">
      <c r="A25" s="373" t="inlineStr">
        <is>
          <t>7</t>
        </is>
      </c>
      <c r="B25" s="601"/>
      <c r="C25" s="596"/>
      <c r="D25" s="596"/>
      <c r="E25" s="378"/>
      <c r="F25" s="602"/>
      <c r="G25" s="400"/>
      <c r="H25" s="602"/>
      <c r="I25" s="378"/>
      <c r="J25" s="602"/>
      <c r="K25" s="378"/>
      <c r="L25" s="409">
        <f t="shared" si="2"/>
        <v>0</v>
      </c>
      <c r="M25" s="378"/>
      <c r="N25" s="411">
        <f t="shared" si="3"/>
        <v>0</v>
      </c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</row>
    <row r="26" spans="1:25" ht="13" x14ac:dyDescent="0.3">
      <c r="A26" s="373" t="s">
        <v>57</v>
      </c>
      <c r="B26" s="601"/>
      <c r="C26" s="596"/>
      <c r="D26" s="596"/>
      <c r="E26" s="378"/>
      <c r="F26" s="602"/>
      <c r="G26" s="400"/>
      <c r="H26" s="602"/>
      <c r="I26" s="378"/>
      <c r="J26" s="602"/>
      <c r="K26" s="378"/>
      <c r="L26" s="409">
        <f t="shared" si="2"/>
        <v>0</v>
      </c>
      <c r="M26" s="378"/>
      <c r="N26" s="411">
        <f t="shared" si="3"/>
        <v>0</v>
      </c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</row>
    <row r="27" spans="1:25" ht="13.5" thickBot="1" x14ac:dyDescent="0.35">
      <c r="A27" s="395"/>
      <c r="B27" s="84" t="s">
        <v>58</v>
      </c>
      <c r="C27" s="84"/>
      <c r="D27" s="84"/>
      <c r="E27" s="399"/>
      <c r="F27" s="396"/>
      <c r="G27" s="401"/>
      <c r="H27" s="396">
        <f>SUM(H19:H26)</f>
        <v>60</v>
      </c>
      <c r="I27" s="399"/>
      <c r="J27" s="396">
        <f>SUM(J19:J26)</f>
        <v>100</v>
      </c>
      <c r="K27" s="399"/>
      <c r="L27" s="412">
        <f>SUM(L19:L26)</f>
        <v>1</v>
      </c>
      <c r="M27" s="399"/>
      <c r="N27" s="413">
        <f>SUM(N19:N26)</f>
        <v>1</v>
      </c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</row>
    <row r="28" spans="1:25" ht="13" x14ac:dyDescent="0.3"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25" ht="13" x14ac:dyDescent="0.3"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</row>
    <row r="30" spans="1:25" ht="13" x14ac:dyDescent="0.3"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</row>
    <row r="31" spans="1:25" ht="13" x14ac:dyDescent="0.3">
      <c r="A31" s="676" t="s">
        <v>63</v>
      </c>
      <c r="B31" s="676"/>
      <c r="C31" s="676"/>
      <c r="D31" s="676"/>
      <c r="E31" s="676"/>
      <c r="F31" s="676"/>
      <c r="G31" s="676"/>
      <c r="H31" s="676"/>
      <c r="I31" s="676"/>
      <c r="J31" s="676"/>
      <c r="K31" s="676"/>
      <c r="L31" s="676"/>
      <c r="M31" s="676"/>
      <c r="N31" s="676"/>
      <c r="O31" s="676"/>
      <c r="P31" s="676"/>
      <c r="Q31" s="676"/>
      <c r="R31" s="676"/>
      <c r="S31" s="39"/>
      <c r="T31" s="39"/>
      <c r="U31" s="39"/>
      <c r="V31" s="39"/>
      <c r="W31" s="39"/>
      <c r="X31" s="39"/>
      <c r="Y31" s="39"/>
    </row>
    <row r="32" spans="1:25" ht="13" x14ac:dyDescent="0.3"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</row>
    <row r="33" spans="1:25" ht="13" x14ac:dyDescent="0.3"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</row>
    <row r="34" spans="1:25" ht="13" thickBot="1" x14ac:dyDescent="0.3"/>
    <row r="35" spans="1:25" ht="13.5" thickBot="1" x14ac:dyDescent="0.35">
      <c r="A35" s="664" t="s">
        <v>64</v>
      </c>
      <c r="B35" s="665"/>
      <c r="C35" s="665"/>
      <c r="D35" s="665"/>
      <c r="E35" s="666"/>
      <c r="F35" s="371"/>
      <c r="G35" s="372"/>
      <c r="H35" s="371"/>
      <c r="I35"/>
      <c r="J35"/>
      <c r="K35"/>
      <c r="L35"/>
      <c r="M35"/>
      <c r="N35"/>
    </row>
    <row r="36" spans="1:25" ht="26" x14ac:dyDescent="0.3">
      <c r="A36" s="392"/>
      <c r="B36" s="391" t="s">
        <v>65</v>
      </c>
      <c r="C36" s="391"/>
      <c r="D36" s="391"/>
      <c r="E36" s="398" t="s">
        <v>43</v>
      </c>
      <c r="F36" s="394" t="s">
        <v>44</v>
      </c>
      <c r="G36" s="398" t="s">
        <v>43</v>
      </c>
      <c r="H36" s="391" t="s">
        <v>66</v>
      </c>
      <c r="I36" s="398" t="s">
        <v>43</v>
      </c>
      <c r="J36" s="391" t="s">
        <v>67</v>
      </c>
      <c r="K36" s="398" t="s">
        <v>43</v>
      </c>
      <c r="L36" s="391" t="s">
        <v>68</v>
      </c>
      <c r="M36" s="398" t="s">
        <v>43</v>
      </c>
      <c r="N36" s="600" t="s">
        <v>69</v>
      </c>
      <c r="O36" s="398"/>
      <c r="P36" s="391" t="s">
        <v>70</v>
      </c>
      <c r="Q36" s="398"/>
      <c r="R36" s="600" t="s">
        <v>71</v>
      </c>
    </row>
    <row r="37" spans="1:25" ht="13" x14ac:dyDescent="0.3">
      <c r="A37" s="373" t="s">
        <v>50</v>
      </c>
      <c r="B37" s="601"/>
      <c r="C37" s="601"/>
      <c r="D37" s="601"/>
      <c r="E37" s="377"/>
      <c r="F37" s="602"/>
      <c r="G37" s="400"/>
      <c r="H37" s="602"/>
      <c r="I37" s="378"/>
      <c r="J37" s="602"/>
      <c r="K37" s="378"/>
      <c r="L37" s="602"/>
      <c r="M37" s="378"/>
      <c r="N37" s="529"/>
      <c r="O37" s="378"/>
      <c r="P37" s="602"/>
      <c r="Q37" s="378"/>
      <c r="R37" s="529"/>
    </row>
    <row r="38" spans="1:25" ht="13" x14ac:dyDescent="0.3">
      <c r="A38" s="373" t="s">
        <v>51</v>
      </c>
      <c r="B38" s="601"/>
      <c r="C38" s="601"/>
      <c r="D38" s="601"/>
      <c r="E38" s="378"/>
      <c r="F38" s="601"/>
      <c r="G38" s="400"/>
      <c r="H38" s="601"/>
      <c r="I38" s="378"/>
      <c r="J38" s="601"/>
      <c r="K38" s="378"/>
      <c r="L38" s="601"/>
      <c r="M38" s="378"/>
      <c r="N38" s="603"/>
      <c r="O38" s="378"/>
      <c r="P38" s="601"/>
      <c r="Q38" s="378"/>
      <c r="R38" s="603"/>
    </row>
    <row r="39" spans="1:25" ht="13" x14ac:dyDescent="0.3">
      <c r="A39" s="373" t="s">
        <v>52</v>
      </c>
      <c r="B39" s="601"/>
      <c r="C39" s="601"/>
      <c r="D39" s="601"/>
      <c r="E39" s="377"/>
      <c r="F39" s="601"/>
      <c r="G39" s="400"/>
      <c r="H39" s="601"/>
      <c r="I39" s="378"/>
      <c r="J39" s="601"/>
      <c r="K39" s="378"/>
      <c r="L39" s="601"/>
      <c r="M39" s="378"/>
      <c r="N39" s="603"/>
      <c r="O39" s="378"/>
      <c r="P39" s="601"/>
      <c r="Q39" s="378"/>
      <c r="R39" s="603"/>
    </row>
    <row r="40" spans="1:25" ht="13" x14ac:dyDescent="0.3">
      <c r="A40" s="373" t="s">
        <v>53</v>
      </c>
      <c r="B40" s="601"/>
      <c r="C40" s="601"/>
      <c r="D40" s="601"/>
      <c r="E40" s="377"/>
      <c r="F40" s="601"/>
      <c r="G40" s="400"/>
      <c r="H40" s="601"/>
      <c r="I40" s="378"/>
      <c r="J40" s="601"/>
      <c r="K40" s="378"/>
      <c r="L40" s="601"/>
      <c r="M40" s="378"/>
      <c r="N40" s="603"/>
      <c r="O40" s="378"/>
      <c r="P40" s="601"/>
      <c r="Q40" s="378"/>
      <c r="R40" s="603"/>
    </row>
    <row r="41" spans="1:25" ht="13" x14ac:dyDescent="0.3">
      <c r="A41" s="373" t="s">
        <v>54</v>
      </c>
      <c r="B41" s="601"/>
      <c r="C41" s="601"/>
      <c r="D41" s="601"/>
      <c r="E41" s="377"/>
      <c r="F41" s="601"/>
      <c r="G41" s="400"/>
      <c r="H41" s="601"/>
      <c r="I41" s="378"/>
      <c r="J41" s="601"/>
      <c r="K41" s="378"/>
      <c r="L41" s="601"/>
      <c r="M41" s="378"/>
      <c r="N41" s="603"/>
      <c r="O41" s="378"/>
      <c r="P41" s="601"/>
      <c r="Q41" s="378"/>
      <c r="R41" s="603"/>
    </row>
    <row r="42" spans="1:25" ht="13" x14ac:dyDescent="0.3">
      <c r="A42" s="373" t="s">
        <v>55</v>
      </c>
      <c r="B42" s="601"/>
      <c r="C42" s="601"/>
      <c r="D42" s="601"/>
      <c r="E42" s="378"/>
      <c r="F42" s="602"/>
      <c r="G42" s="400"/>
      <c r="H42" s="602"/>
      <c r="I42" s="378"/>
      <c r="J42" s="602"/>
      <c r="K42" s="378"/>
      <c r="L42" s="602"/>
      <c r="M42" s="378"/>
      <c r="N42" s="529"/>
      <c r="O42" s="378"/>
      <c r="P42" s="602"/>
      <c r="Q42" s="378"/>
      <c r="R42" s="529"/>
    </row>
    <row r="43" spans="1:25" ht="13" x14ac:dyDescent="0.3">
      <c r="A43" s="373" t="s">
        <v>56</v>
      </c>
      <c r="B43" s="601"/>
      <c r="C43" s="601"/>
      <c r="D43" s="601"/>
      <c r="E43" s="378"/>
      <c r="F43" s="602"/>
      <c r="G43" s="400"/>
      <c r="H43" s="602"/>
      <c r="I43" s="378"/>
      <c r="J43" s="602"/>
      <c r="K43" s="378"/>
      <c r="L43" s="602"/>
      <c r="M43" s="378"/>
      <c r="N43" s="529"/>
      <c r="O43" s="378"/>
      <c r="P43" s="602"/>
      <c r="Q43" s="378"/>
      <c r="R43" s="529"/>
    </row>
    <row r="44" spans="1:25" ht="13" x14ac:dyDescent="0.3">
      <c r="A44" s="373" t="s">
        <v>57</v>
      </c>
      <c r="B44" s="601"/>
      <c r="C44" s="601"/>
      <c r="D44" s="601"/>
      <c r="E44" s="378"/>
      <c r="F44" s="602"/>
      <c r="G44" s="400"/>
      <c r="H44" s="602"/>
      <c r="I44" s="378"/>
      <c r="J44" s="602"/>
      <c r="K44" s="378"/>
      <c r="L44" s="602"/>
      <c r="M44" s="378"/>
      <c r="N44" s="529"/>
      <c r="O44" s="378"/>
      <c r="P44" s="602"/>
      <c r="Q44" s="378"/>
      <c r="R44" s="529"/>
    </row>
    <row r="45" spans="1:25" ht="13.5" thickBot="1" x14ac:dyDescent="0.35">
      <c r="A45" s="395"/>
      <c r="B45" s="84" t="s">
        <v>58</v>
      </c>
      <c r="C45" s="84"/>
      <c r="D45" s="84"/>
      <c r="E45" s="399"/>
      <c r="F45" s="396"/>
      <c r="G45" s="401"/>
      <c r="H45" s="396">
        <f>SUM(H37:H44)</f>
        <v>0</v>
      </c>
      <c r="I45" s="399"/>
      <c r="J45" s="396">
        <f>SUM(J37:J44)</f>
        <v>0</v>
      </c>
      <c r="K45" s="399"/>
      <c r="L45" s="396">
        <f>SUM(L37:L44)</f>
        <v>0</v>
      </c>
      <c r="M45" s="399"/>
      <c r="N45" s="397">
        <f>SUM(N37:N44)</f>
        <v>0</v>
      </c>
      <c r="O45" s="399"/>
      <c r="P45" s="396">
        <f>SUM(P37:P44)</f>
        <v>0</v>
      </c>
      <c r="Q45" s="399"/>
      <c r="R45" s="397">
        <f>SUM(R37:R44)</f>
        <v>0</v>
      </c>
    </row>
    <row r="46" spans="1:25" ht="13" thickBot="1" x14ac:dyDescent="0.3"/>
    <row r="47" spans="1:25" ht="13.5" thickBot="1" x14ac:dyDescent="0.35">
      <c r="A47" s="664" t="s">
        <v>72</v>
      </c>
      <c r="B47" s="665"/>
      <c r="C47" s="665"/>
      <c r="D47" s="665"/>
      <c r="E47" s="666"/>
      <c r="F47" s="371"/>
      <c r="G47" s="372"/>
      <c r="H47" s="371"/>
      <c r="I47"/>
      <c r="J47"/>
      <c r="K47"/>
      <c r="L47"/>
      <c r="M47"/>
      <c r="N47"/>
    </row>
    <row r="48" spans="1:25" ht="26" x14ac:dyDescent="0.3">
      <c r="A48" s="392"/>
      <c r="B48" s="391" t="s">
        <v>73</v>
      </c>
      <c r="C48" s="391"/>
      <c r="D48" s="391"/>
      <c r="E48" s="398" t="s">
        <v>43</v>
      </c>
      <c r="F48" s="394" t="s">
        <v>44</v>
      </c>
      <c r="G48" s="398" t="s">
        <v>43</v>
      </c>
      <c r="H48" s="391" t="s">
        <v>74</v>
      </c>
      <c r="I48" s="398" t="s">
        <v>43</v>
      </c>
      <c r="J48" s="391" t="s">
        <v>75</v>
      </c>
      <c r="K48" s="398" t="s">
        <v>43</v>
      </c>
      <c r="L48" s="391" t="s">
        <v>76</v>
      </c>
      <c r="M48" s="398" t="s">
        <v>43</v>
      </c>
      <c r="N48" s="600" t="s">
        <v>77</v>
      </c>
      <c r="O48" s="398"/>
      <c r="P48" s="391" t="s">
        <v>70</v>
      </c>
      <c r="Q48" s="398"/>
      <c r="R48" s="600" t="s">
        <v>78</v>
      </c>
    </row>
    <row r="49" spans="1:18" ht="13" x14ac:dyDescent="0.3">
      <c r="A49" s="373" t="s">
        <v>50</v>
      </c>
      <c r="B49" s="601"/>
      <c r="C49" s="601"/>
      <c r="D49" s="601"/>
      <c r="E49" s="377"/>
      <c r="F49" s="602"/>
      <c r="G49" s="400"/>
      <c r="H49" s="602"/>
      <c r="I49" s="378"/>
      <c r="J49" s="602"/>
      <c r="K49" s="378"/>
      <c r="L49" s="602"/>
      <c r="M49" s="378"/>
      <c r="N49" s="529"/>
      <c r="O49" s="378"/>
      <c r="P49" s="602"/>
      <c r="Q49" s="378"/>
      <c r="R49" s="529"/>
    </row>
    <row r="50" spans="1:18" ht="13" x14ac:dyDescent="0.3">
      <c r="A50" s="373" t="s">
        <v>51</v>
      </c>
      <c r="B50" s="601"/>
      <c r="C50" s="601"/>
      <c r="D50" s="601"/>
      <c r="E50" s="378"/>
      <c r="F50" s="601"/>
      <c r="G50" s="400"/>
      <c r="H50" s="601"/>
      <c r="I50" s="378"/>
      <c r="J50" s="601"/>
      <c r="K50" s="378"/>
      <c r="L50" s="601"/>
      <c r="M50" s="378"/>
      <c r="N50" s="603"/>
      <c r="O50" s="378"/>
      <c r="P50" s="601"/>
      <c r="Q50" s="378"/>
      <c r="R50" s="603"/>
    </row>
    <row r="51" spans="1:18" ht="13" x14ac:dyDescent="0.3">
      <c r="A51" s="373" t="s">
        <v>52</v>
      </c>
      <c r="B51" s="601"/>
      <c r="C51" s="601"/>
      <c r="D51" s="601"/>
      <c r="E51" s="377"/>
      <c r="F51" s="601"/>
      <c r="G51" s="400"/>
      <c r="H51" s="601"/>
      <c r="I51" s="378"/>
      <c r="J51" s="601"/>
      <c r="K51" s="378"/>
      <c r="L51" s="601"/>
      <c r="M51" s="378"/>
      <c r="N51" s="603"/>
      <c r="O51" s="378"/>
      <c r="P51" s="601"/>
      <c r="Q51" s="378"/>
      <c r="R51" s="603"/>
    </row>
    <row r="52" spans="1:18" ht="13" x14ac:dyDescent="0.3">
      <c r="A52" s="373" t="s">
        <v>53</v>
      </c>
      <c r="B52" s="601"/>
      <c r="C52" s="601"/>
      <c r="D52" s="601"/>
      <c r="E52" s="377"/>
      <c r="F52" s="601"/>
      <c r="G52" s="400"/>
      <c r="H52" s="601"/>
      <c r="I52" s="378"/>
      <c r="J52" s="601"/>
      <c r="K52" s="378"/>
      <c r="L52" s="601"/>
      <c r="M52" s="378"/>
      <c r="N52" s="603"/>
      <c r="O52" s="378"/>
      <c r="P52" s="601"/>
      <c r="Q52" s="378"/>
      <c r="R52" s="603"/>
    </row>
    <row r="53" spans="1:18" ht="13" x14ac:dyDescent="0.3">
      <c r="A53" s="373" t="s">
        <v>54</v>
      </c>
      <c r="B53" s="601"/>
      <c r="C53" s="601"/>
      <c r="D53" s="601"/>
      <c r="E53" s="377"/>
      <c r="F53" s="601"/>
      <c r="G53" s="400"/>
      <c r="H53" s="601"/>
      <c r="I53" s="378"/>
      <c r="J53" s="601"/>
      <c r="K53" s="378"/>
      <c r="L53" s="601"/>
      <c r="M53" s="378"/>
      <c r="N53" s="603"/>
      <c r="O53" s="378"/>
      <c r="P53" s="601"/>
      <c r="Q53" s="378"/>
      <c r="R53" s="603"/>
    </row>
    <row r="54" spans="1:18" ht="13" x14ac:dyDescent="0.3">
      <c r="A54" s="373" t="s">
        <v>55</v>
      </c>
      <c r="B54" s="601"/>
      <c r="C54" s="601"/>
      <c r="D54" s="601"/>
      <c r="E54" s="378"/>
      <c r="F54" s="602"/>
      <c r="G54" s="400"/>
      <c r="H54" s="602"/>
      <c r="I54" s="378"/>
      <c r="J54" s="602"/>
      <c r="K54" s="378"/>
      <c r="L54" s="602"/>
      <c r="M54" s="378"/>
      <c r="N54" s="529"/>
      <c r="O54" s="378"/>
      <c r="P54" s="602"/>
      <c r="Q54" s="378"/>
      <c r="R54" s="529"/>
    </row>
    <row r="55" spans="1:18" ht="13" x14ac:dyDescent="0.3">
      <c r="A55" s="373" t="s">
        <v>56</v>
      </c>
      <c r="B55" s="601"/>
      <c r="C55" s="601"/>
      <c r="D55" s="601"/>
      <c r="E55" s="378"/>
      <c r="F55" s="602"/>
      <c r="G55" s="400"/>
      <c r="H55" s="602"/>
      <c r="I55" s="378"/>
      <c r="J55" s="602"/>
      <c r="K55" s="378"/>
      <c r="L55" s="602"/>
      <c r="M55" s="378"/>
      <c r="N55" s="529"/>
      <c r="O55" s="378"/>
      <c r="P55" s="602"/>
      <c r="Q55" s="378"/>
      <c r="R55" s="529"/>
    </row>
    <row r="56" spans="1:18" ht="13" x14ac:dyDescent="0.3">
      <c r="A56" s="373" t="s">
        <v>57</v>
      </c>
      <c r="B56" s="601"/>
      <c r="C56" s="601"/>
      <c r="D56" s="601"/>
      <c r="E56" s="378"/>
      <c r="F56" s="602"/>
      <c r="G56" s="400"/>
      <c r="H56" s="602"/>
      <c r="I56" s="378"/>
      <c r="J56" s="602"/>
      <c r="K56" s="378"/>
      <c r="L56" s="602"/>
      <c r="M56" s="378"/>
      <c r="N56" s="529"/>
      <c r="O56" s="378"/>
      <c r="P56" s="602"/>
      <c r="Q56" s="378"/>
      <c r="R56" s="529"/>
    </row>
    <row r="57" spans="1:18" ht="13.5" thickBot="1" x14ac:dyDescent="0.35">
      <c r="A57" s="395"/>
      <c r="B57" s="84" t="s">
        <v>58</v>
      </c>
      <c r="C57" s="84"/>
      <c r="D57" s="84"/>
      <c r="E57" s="399"/>
      <c r="F57" s="396"/>
      <c r="G57" s="401"/>
      <c r="H57" s="396">
        <f>SUM(H49:H56)</f>
        <v>0</v>
      </c>
      <c r="I57" s="399"/>
      <c r="J57" s="396">
        <f>SUM(J49:J56)</f>
        <v>0</v>
      </c>
      <c r="K57" s="399"/>
      <c r="L57" s="396">
        <f>SUM(L49:L56)</f>
        <v>0</v>
      </c>
      <c r="M57" s="399"/>
      <c r="N57" s="397">
        <f>SUM(N49:N56)</f>
        <v>0</v>
      </c>
      <c r="O57" s="399"/>
      <c r="P57" s="396">
        <f>SUM(P49:P56)</f>
        <v>0</v>
      </c>
      <c r="Q57" s="399"/>
      <c r="R57" s="397">
        <f>SUM(R49:R56)</f>
        <v>0</v>
      </c>
    </row>
  </sheetData>
  <mergeCells count="7">
    <mergeCell ref="A35:E35"/>
    <mergeCell ref="A47:E47"/>
    <mergeCell ref="A17:E17"/>
    <mergeCell ref="A5:E5"/>
    <mergeCell ref="A1:O1"/>
    <mergeCell ref="A2:O2"/>
    <mergeCell ref="A31:R31"/>
  </mergeCells>
  <dataValidations count="1">
    <dataValidation type="list" allowBlank="1" showInputMessage="1" showErrorMessage="1" sqref="C19:D26" xr:uid="{00000000-0002-0000-0100-000000000000}">
      <formula1>$U$1:$U$2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Sheet4">
    <tabColor theme="3" tint="-0.249977111117893"/>
    <pageSetUpPr fitToPage="1"/>
  </sheetPr>
  <dimension ref="A1:P72"/>
  <sheetViews>
    <sheetView zoomScale="75" zoomScaleNormal="75" workbookViewId="0">
      <selection activeCell="P28" sqref="P28"/>
    </sheetView>
  </sheetViews>
  <sheetFormatPr defaultColWidth="8.81640625" defaultRowHeight="13" x14ac:dyDescent="0.3"/>
  <cols>
    <col min="1" max="1" width="7.453125" customWidth="1"/>
    <col min="2" max="2" width="3.54296875" style="11" customWidth="1"/>
    <col min="3" max="3" width="51.81640625" style="12" customWidth="1"/>
    <col min="4" max="4" width="9.7265625" style="13" customWidth="1"/>
    <col min="5" max="5" width="5.1796875" customWidth="1"/>
    <col min="6" max="6" width="15.81640625" customWidth="1"/>
    <col min="7" max="7" width="4" customWidth="1"/>
    <col min="8" max="8" width="15.81640625" style="19" customWidth="1"/>
    <col min="9" max="9" width="3.81640625" customWidth="1"/>
    <col min="10" max="10" width="16.26953125" customWidth="1"/>
    <col min="11" max="11" width="4.26953125" customWidth="1"/>
    <col min="12" max="12" width="17.81640625" customWidth="1"/>
  </cols>
  <sheetData>
    <row r="1" spans="1:12" x14ac:dyDescent="0.3">
      <c r="A1" s="679">
        <f>'Basic Information'!B4</f>
        <v>0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1"/>
    </row>
    <row r="2" spans="1:12" ht="12.5" x14ac:dyDescent="0.25">
      <c r="A2" s="682" t="s">
        <v>79</v>
      </c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4"/>
    </row>
    <row r="3" spans="1:12" ht="12.5" x14ac:dyDescent="0.25">
      <c r="A3" s="685" t="str">
        <f>'Basic Information'!B1</f>
        <v>12/31/24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4"/>
    </row>
    <row r="4" spans="1:12" ht="12.5" x14ac:dyDescent="0.25">
      <c r="A4" s="686" t="s">
        <v>80</v>
      </c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8"/>
    </row>
    <row r="5" spans="1:12" ht="13.5" thickBot="1" x14ac:dyDescent="0.35">
      <c r="A5" s="613"/>
      <c r="B5" s="614"/>
      <c r="C5" s="614"/>
      <c r="D5" s="615"/>
      <c r="E5" s="616"/>
      <c r="F5" s="616"/>
      <c r="G5" s="616"/>
      <c r="H5" s="616"/>
      <c r="I5" s="616"/>
      <c r="J5" s="617"/>
      <c r="K5" s="617" t="s">
        <v>81</v>
      </c>
      <c r="L5" s="618">
        <f>'Basic Information'!C59</f>
        <v>0</v>
      </c>
    </row>
    <row r="6" spans="1:12" ht="13.5" customHeight="1" x14ac:dyDescent="0.3">
      <c r="A6" s="689" t="s">
        <v>82</v>
      </c>
      <c r="B6" s="48"/>
      <c r="C6" s="49"/>
      <c r="D6" s="50" t="s">
        <v>43</v>
      </c>
      <c r="E6" s="51"/>
      <c r="F6" s="51" t="s">
        <v>83</v>
      </c>
      <c r="G6" s="51"/>
      <c r="H6" s="51" t="s">
        <v>84</v>
      </c>
      <c r="I6" s="51"/>
      <c r="J6" s="51" t="s">
        <v>85</v>
      </c>
      <c r="K6" s="51"/>
      <c r="L6" s="98" t="s">
        <v>86</v>
      </c>
    </row>
    <row r="7" spans="1:12" ht="12.75" customHeight="1" x14ac:dyDescent="0.3">
      <c r="A7" s="690"/>
      <c r="B7" s="53" t="s">
        <v>87</v>
      </c>
      <c r="C7" s="39" t="s">
        <v>88</v>
      </c>
      <c r="D7" s="54"/>
      <c r="E7" s="55" t="s">
        <v>87</v>
      </c>
      <c r="F7" s="619"/>
      <c r="G7" s="56"/>
      <c r="H7" s="620"/>
      <c r="I7" s="56"/>
      <c r="J7" s="57">
        <f>H7+F7</f>
        <v>0</v>
      </c>
      <c r="K7" s="56"/>
      <c r="L7" s="59" t="e">
        <f>J7/$L$5</f>
        <v>#DIV/0!</v>
      </c>
    </row>
    <row r="8" spans="1:12" ht="15" customHeight="1" x14ac:dyDescent="0.3">
      <c r="A8" s="690"/>
      <c r="B8" s="53" t="s">
        <v>89</v>
      </c>
      <c r="C8" s="39" t="s">
        <v>90</v>
      </c>
      <c r="D8" s="54"/>
      <c r="E8" s="60" t="s">
        <v>89</v>
      </c>
      <c r="F8" s="619"/>
      <c r="G8" s="56"/>
      <c r="H8" s="620"/>
      <c r="I8" s="56"/>
      <c r="J8" s="57">
        <f>H8+F8</f>
        <v>0</v>
      </c>
      <c r="K8" s="56"/>
      <c r="L8" s="59" t="e">
        <f>J8/$L$5</f>
        <v>#DIV/0!</v>
      </c>
    </row>
    <row r="9" spans="1:12" ht="15" customHeight="1" x14ac:dyDescent="0.3">
      <c r="A9" s="690"/>
      <c r="B9" s="61">
        <v>2</v>
      </c>
      <c r="C9" s="62" t="s">
        <v>91</v>
      </c>
      <c r="D9" s="63"/>
      <c r="E9" s="64">
        <v>2</v>
      </c>
      <c r="F9" s="65">
        <f>SUM(F10:F12)</f>
        <v>0</v>
      </c>
      <c r="G9" s="66"/>
      <c r="H9" s="65">
        <f>SUM(H10:H12)</f>
        <v>0</v>
      </c>
      <c r="I9" s="66"/>
      <c r="J9" s="65">
        <f>SUM(J10:J12)</f>
        <v>0</v>
      </c>
      <c r="K9" s="66"/>
      <c r="L9" s="103" t="e">
        <f>SUM(L10:L12)</f>
        <v>#DIV/0!</v>
      </c>
    </row>
    <row r="10" spans="1:12" ht="15" customHeight="1" x14ac:dyDescent="0.3">
      <c r="A10" s="690"/>
      <c r="B10" s="53"/>
      <c r="C10" s="99" t="s">
        <v>92</v>
      </c>
      <c r="D10" s="54"/>
      <c r="E10" s="60"/>
      <c r="F10" s="621"/>
      <c r="G10" s="56"/>
      <c r="H10" s="621"/>
      <c r="I10" s="56"/>
      <c r="J10" s="100">
        <f>H10+F10</f>
        <v>0</v>
      </c>
      <c r="K10" s="56"/>
      <c r="L10" s="102" t="e">
        <f>J10/$L$5</f>
        <v>#DIV/0!</v>
      </c>
    </row>
    <row r="11" spans="1:12" ht="15" customHeight="1" x14ac:dyDescent="0.3">
      <c r="A11" s="690"/>
      <c r="B11" s="53"/>
      <c r="C11" s="99" t="s">
        <v>93</v>
      </c>
      <c r="D11" s="54"/>
      <c r="E11" s="60"/>
      <c r="F11" s="621"/>
      <c r="G11" s="56"/>
      <c r="H11" s="621"/>
      <c r="I11" s="56"/>
      <c r="J11" s="100">
        <f>H11+F11</f>
        <v>0</v>
      </c>
      <c r="K11" s="56"/>
      <c r="L11" s="102" t="e">
        <f>J11/$L$5</f>
        <v>#DIV/0!</v>
      </c>
    </row>
    <row r="12" spans="1:12" ht="15" customHeight="1" x14ac:dyDescent="0.3">
      <c r="A12" s="690"/>
      <c r="B12" s="53"/>
      <c r="C12" s="99" t="s">
        <v>94</v>
      </c>
      <c r="D12" s="54"/>
      <c r="E12" s="60"/>
      <c r="F12" s="621"/>
      <c r="G12" s="56"/>
      <c r="H12" s="621"/>
      <c r="I12" s="56"/>
      <c r="J12" s="100">
        <f>H12+F12</f>
        <v>0</v>
      </c>
      <c r="K12" s="56"/>
      <c r="L12" s="102" t="e">
        <f>J12/$L$5</f>
        <v>#DIV/0!</v>
      </c>
    </row>
    <row r="13" spans="1:12" ht="15" customHeight="1" x14ac:dyDescent="0.3">
      <c r="A13" s="690"/>
      <c r="B13" s="53">
        <v>3</v>
      </c>
      <c r="C13" s="39" t="s">
        <v>95</v>
      </c>
      <c r="D13" s="54"/>
      <c r="E13" s="67">
        <v>3</v>
      </c>
      <c r="F13" s="101">
        <f>F7-F8-F9</f>
        <v>0</v>
      </c>
      <c r="G13" s="56"/>
      <c r="H13" s="101">
        <f>H7-H8-H9</f>
        <v>0</v>
      </c>
      <c r="I13" s="56"/>
      <c r="J13" s="101">
        <f>J7-J8-J9</f>
        <v>0</v>
      </c>
      <c r="K13" s="56"/>
      <c r="L13" s="104" t="e">
        <f>L7-L8-L9</f>
        <v>#DIV/0!</v>
      </c>
    </row>
    <row r="14" spans="1:12" ht="15" customHeight="1" x14ac:dyDescent="0.3">
      <c r="A14" s="690"/>
      <c r="B14" s="53">
        <v>4</v>
      </c>
      <c r="C14" s="39" t="s">
        <v>96</v>
      </c>
      <c r="D14" s="54"/>
      <c r="E14" s="60">
        <v>4</v>
      </c>
      <c r="F14" s="620"/>
      <c r="G14" s="56"/>
      <c r="H14" s="620"/>
      <c r="I14" s="56"/>
      <c r="J14" s="57">
        <f>H14+F14</f>
        <v>0</v>
      </c>
      <c r="K14" s="56"/>
      <c r="L14" s="59" t="e">
        <f t="shared" ref="L14:L20" si="0">J14/$L$5</f>
        <v>#DIV/0!</v>
      </c>
    </row>
    <row r="15" spans="1:12" ht="15" customHeight="1" x14ac:dyDescent="0.3">
      <c r="A15" s="690"/>
      <c r="B15" s="53">
        <v>5</v>
      </c>
      <c r="C15" s="39" t="s">
        <v>97</v>
      </c>
      <c r="D15" s="54"/>
      <c r="E15" s="60">
        <v>5</v>
      </c>
      <c r="F15" s="620"/>
      <c r="G15" s="37"/>
      <c r="H15" s="620"/>
      <c r="I15" s="56"/>
      <c r="J15" s="57">
        <f>H15+F15</f>
        <v>0</v>
      </c>
      <c r="K15" s="37"/>
      <c r="L15" s="59" t="e">
        <f t="shared" si="0"/>
        <v>#DIV/0!</v>
      </c>
    </row>
    <row r="16" spans="1:12" ht="15" customHeight="1" x14ac:dyDescent="0.3">
      <c r="A16" s="690"/>
      <c r="B16" s="53" t="s">
        <v>98</v>
      </c>
      <c r="C16" s="39" t="s">
        <v>99</v>
      </c>
      <c r="D16" s="54"/>
      <c r="E16" s="60" t="s">
        <v>98</v>
      </c>
      <c r="F16" s="620"/>
      <c r="G16" s="56"/>
      <c r="H16" s="620"/>
      <c r="I16" s="56"/>
      <c r="J16" s="57">
        <f t="shared" ref="J16:J30" si="1">H16+F16</f>
        <v>0</v>
      </c>
      <c r="K16" s="56"/>
      <c r="L16" s="59" t="e">
        <f t="shared" si="0"/>
        <v>#DIV/0!</v>
      </c>
    </row>
    <row r="17" spans="1:12" ht="15" customHeight="1" x14ac:dyDescent="0.3">
      <c r="A17" s="690"/>
      <c r="B17" s="53" t="s">
        <v>89</v>
      </c>
      <c r="C17" s="39" t="s">
        <v>100</v>
      </c>
      <c r="D17" s="54"/>
      <c r="E17" s="60" t="s">
        <v>89</v>
      </c>
      <c r="F17" s="620"/>
      <c r="G17" s="56"/>
      <c r="H17" s="620"/>
      <c r="I17" s="56"/>
      <c r="J17" s="57">
        <f t="shared" ref="J17" si="2">H17+F17</f>
        <v>0</v>
      </c>
      <c r="K17" s="56"/>
      <c r="L17" s="59" t="e">
        <f t="shared" si="0"/>
        <v>#DIV/0!</v>
      </c>
    </row>
    <row r="18" spans="1:12" ht="15" customHeight="1" x14ac:dyDescent="0.3">
      <c r="A18" s="690"/>
      <c r="B18" s="53">
        <v>7</v>
      </c>
      <c r="C18" s="39" t="s">
        <v>101</v>
      </c>
      <c r="D18" s="54"/>
      <c r="E18" s="60">
        <v>7</v>
      </c>
      <c r="F18" s="620"/>
      <c r="G18" s="56"/>
      <c r="H18" s="620"/>
      <c r="I18" s="56"/>
      <c r="J18" s="57">
        <f t="shared" si="1"/>
        <v>0</v>
      </c>
      <c r="K18" s="56"/>
      <c r="L18" s="59" t="e">
        <f t="shared" si="0"/>
        <v>#DIV/0!</v>
      </c>
    </row>
    <row r="19" spans="1:12" ht="15" customHeight="1" x14ac:dyDescent="0.3">
      <c r="A19" s="690"/>
      <c r="B19" s="53" t="s">
        <v>102</v>
      </c>
      <c r="C19" s="68" t="s">
        <v>103</v>
      </c>
      <c r="D19" s="69"/>
      <c r="E19" s="60" t="s">
        <v>102</v>
      </c>
      <c r="F19" s="620"/>
      <c r="G19" s="56"/>
      <c r="H19" s="620"/>
      <c r="I19" s="56"/>
      <c r="J19" s="57">
        <f t="shared" si="1"/>
        <v>0</v>
      </c>
      <c r="K19" s="56"/>
      <c r="L19" s="59" t="e">
        <f t="shared" si="0"/>
        <v>#DIV/0!</v>
      </c>
    </row>
    <row r="20" spans="1:12" ht="15" customHeight="1" x14ac:dyDescent="0.3">
      <c r="A20" s="690"/>
      <c r="B20" s="53" t="s">
        <v>89</v>
      </c>
      <c r="C20" s="68" t="s">
        <v>104</v>
      </c>
      <c r="D20" s="69"/>
      <c r="E20" s="60" t="s">
        <v>89</v>
      </c>
      <c r="F20" s="620"/>
      <c r="G20" s="56"/>
      <c r="H20" s="620"/>
      <c r="I20" s="56"/>
      <c r="J20" s="57">
        <f t="shared" ref="J20" si="3">H20+F20</f>
        <v>0</v>
      </c>
      <c r="K20" s="56"/>
      <c r="L20" s="59" t="e">
        <f t="shared" si="0"/>
        <v>#DIV/0!</v>
      </c>
    </row>
    <row r="21" spans="1:12" ht="15" customHeight="1" x14ac:dyDescent="0.3">
      <c r="A21" s="690"/>
      <c r="B21" s="61">
        <v>9</v>
      </c>
      <c r="C21" s="70" t="s">
        <v>105</v>
      </c>
      <c r="D21" s="54"/>
      <c r="E21" s="64">
        <v>9</v>
      </c>
      <c r="F21" s="65">
        <f>SUM(F22:F24)</f>
        <v>0</v>
      </c>
      <c r="G21" s="66"/>
      <c r="H21" s="65">
        <f>SUM(H22:H24)</f>
        <v>0</v>
      </c>
      <c r="I21" s="66"/>
      <c r="J21" s="65">
        <f>SUM(J22:J24)</f>
        <v>0</v>
      </c>
      <c r="K21" s="66"/>
      <c r="L21" s="103" t="e">
        <f>SUM(L22:L24)</f>
        <v>#DIV/0!</v>
      </c>
    </row>
    <row r="22" spans="1:12" ht="15" customHeight="1" x14ac:dyDescent="0.3">
      <c r="A22" s="690"/>
      <c r="B22" s="53"/>
      <c r="C22" s="99" t="s">
        <v>106</v>
      </c>
      <c r="D22" s="71"/>
      <c r="E22" s="60"/>
      <c r="F22" s="621"/>
      <c r="G22" s="100"/>
      <c r="H22" s="621"/>
      <c r="I22" s="100"/>
      <c r="J22" s="100">
        <f>H22+F22</f>
        <v>0</v>
      </c>
      <c r="K22" s="100"/>
      <c r="L22" s="102" t="e">
        <f>J22/$L$5</f>
        <v>#DIV/0!</v>
      </c>
    </row>
    <row r="23" spans="1:12" ht="15" customHeight="1" x14ac:dyDescent="0.3">
      <c r="A23" s="690"/>
      <c r="B23" s="53"/>
      <c r="C23" s="99" t="s">
        <v>107</v>
      </c>
      <c r="D23" s="54"/>
      <c r="E23" s="60"/>
      <c r="F23" s="621"/>
      <c r="G23" s="100"/>
      <c r="H23" s="621"/>
      <c r="I23" s="100"/>
      <c r="J23" s="100">
        <f>H23+F23</f>
        <v>0</v>
      </c>
      <c r="K23" s="100"/>
      <c r="L23" s="102" t="e">
        <f>J23/$L$5</f>
        <v>#DIV/0!</v>
      </c>
    </row>
    <row r="24" spans="1:12" ht="15" customHeight="1" x14ac:dyDescent="0.3">
      <c r="A24" s="690"/>
      <c r="B24" s="53"/>
      <c r="C24" s="99" t="s">
        <v>108</v>
      </c>
      <c r="D24" s="54"/>
      <c r="E24" s="60"/>
      <c r="F24" s="621"/>
      <c r="G24" s="100"/>
      <c r="H24" s="621"/>
      <c r="I24" s="100"/>
      <c r="J24" s="100">
        <f>H24+F24</f>
        <v>0</v>
      </c>
      <c r="K24" s="100"/>
      <c r="L24" s="102" t="e">
        <f>J24/$L$5</f>
        <v>#DIV/0!</v>
      </c>
    </row>
    <row r="25" spans="1:12" ht="13.5" thickBot="1" x14ac:dyDescent="0.35">
      <c r="A25" s="690"/>
      <c r="B25" s="72">
        <v>10</v>
      </c>
      <c r="C25" s="73" t="s">
        <v>109</v>
      </c>
      <c r="D25" s="74"/>
      <c r="E25" s="75">
        <v>10</v>
      </c>
      <c r="F25" s="76">
        <f>SUM(F13:F21)</f>
        <v>0</v>
      </c>
      <c r="G25" s="77"/>
      <c r="H25" s="76">
        <f>SUM(H13:H21)</f>
        <v>0</v>
      </c>
      <c r="I25" s="77"/>
      <c r="J25" s="76">
        <f>SUM(J13:J21)</f>
        <v>0</v>
      </c>
      <c r="K25" s="77"/>
      <c r="L25" s="105" t="e">
        <f>SUM(L13:L21)</f>
        <v>#DIV/0!</v>
      </c>
    </row>
    <row r="26" spans="1:12" ht="13.5" customHeight="1" thickTop="1" x14ac:dyDescent="0.3">
      <c r="A26" s="677" t="s">
        <v>110</v>
      </c>
      <c r="B26" s="53">
        <v>11</v>
      </c>
      <c r="C26" s="68" t="s">
        <v>111</v>
      </c>
      <c r="D26" s="69"/>
      <c r="E26" s="60">
        <v>11</v>
      </c>
      <c r="F26" s="658"/>
      <c r="G26" s="56"/>
      <c r="H26" s="620"/>
      <c r="I26" s="56"/>
      <c r="J26" s="57">
        <f t="shared" si="1"/>
        <v>0</v>
      </c>
      <c r="K26" s="56"/>
      <c r="L26" s="59" t="e">
        <f t="shared" ref="L26:L32" si="4">J26/$L$5</f>
        <v>#DIV/0!</v>
      </c>
    </row>
    <row r="27" spans="1:12" ht="14.25" customHeight="1" x14ac:dyDescent="0.3">
      <c r="A27" s="677"/>
      <c r="B27" s="53" t="s">
        <v>112</v>
      </c>
      <c r="C27" s="68" t="s">
        <v>113</v>
      </c>
      <c r="D27" s="54"/>
      <c r="E27" s="60" t="s">
        <v>112</v>
      </c>
      <c r="F27" s="619"/>
      <c r="G27" s="56"/>
      <c r="H27" s="620"/>
      <c r="I27" s="56"/>
      <c r="J27" s="57">
        <f t="shared" si="1"/>
        <v>0</v>
      </c>
      <c r="K27" s="56"/>
      <c r="L27" s="59" t="e">
        <f t="shared" si="4"/>
        <v>#DIV/0!</v>
      </c>
    </row>
    <row r="28" spans="1:12" ht="15" customHeight="1" x14ac:dyDescent="0.3">
      <c r="A28" s="677"/>
      <c r="B28" s="53" t="s">
        <v>89</v>
      </c>
      <c r="C28" s="68" t="s">
        <v>114</v>
      </c>
      <c r="D28" s="69"/>
      <c r="E28" s="60" t="s">
        <v>89</v>
      </c>
      <c r="F28" s="620"/>
      <c r="G28" s="56"/>
      <c r="H28" s="620"/>
      <c r="I28" s="56"/>
      <c r="J28" s="57">
        <f t="shared" si="1"/>
        <v>0</v>
      </c>
      <c r="K28" s="56"/>
      <c r="L28" s="59" t="e">
        <f t="shared" si="4"/>
        <v>#DIV/0!</v>
      </c>
    </row>
    <row r="29" spans="1:12" ht="15" customHeight="1" x14ac:dyDescent="0.3">
      <c r="A29" s="677"/>
      <c r="B29" s="53">
        <v>13</v>
      </c>
      <c r="C29" s="68" t="s">
        <v>115</v>
      </c>
      <c r="D29" s="69"/>
      <c r="E29" s="60">
        <v>13</v>
      </c>
      <c r="F29" s="658"/>
      <c r="G29" s="56"/>
      <c r="H29" s="620"/>
      <c r="I29" s="56"/>
      <c r="J29" s="57">
        <f t="shared" si="1"/>
        <v>0</v>
      </c>
      <c r="K29" s="56"/>
      <c r="L29" s="59" t="e">
        <f t="shared" si="4"/>
        <v>#DIV/0!</v>
      </c>
    </row>
    <row r="30" spans="1:12" x14ac:dyDescent="0.3">
      <c r="A30" s="677"/>
      <c r="B30" s="53">
        <v>14</v>
      </c>
      <c r="C30" s="68" t="s">
        <v>116</v>
      </c>
      <c r="D30" s="69"/>
      <c r="E30" s="60">
        <v>14</v>
      </c>
      <c r="F30" s="620"/>
      <c r="G30" s="56"/>
      <c r="H30" s="620"/>
      <c r="I30" s="56"/>
      <c r="J30" s="57">
        <f t="shared" si="1"/>
        <v>0</v>
      </c>
      <c r="K30" s="56"/>
      <c r="L30" s="59" t="e">
        <f t="shared" si="4"/>
        <v>#DIV/0!</v>
      </c>
    </row>
    <row r="31" spans="1:12" x14ac:dyDescent="0.3">
      <c r="A31" s="677"/>
      <c r="B31" s="53">
        <v>15</v>
      </c>
      <c r="C31" s="68" t="s">
        <v>117</v>
      </c>
      <c r="D31" s="69"/>
      <c r="E31" s="60">
        <v>15</v>
      </c>
      <c r="F31" s="620"/>
      <c r="G31" s="37"/>
      <c r="H31" s="620"/>
      <c r="I31" s="56"/>
      <c r="J31" s="57">
        <f t="shared" ref="J31:J32" si="5">H31+F31</f>
        <v>0</v>
      </c>
      <c r="K31" s="37"/>
      <c r="L31" s="59" t="e">
        <f t="shared" si="4"/>
        <v>#DIV/0!</v>
      </c>
    </row>
    <row r="32" spans="1:12" x14ac:dyDescent="0.3">
      <c r="A32" s="677"/>
      <c r="B32" s="53">
        <v>16</v>
      </c>
      <c r="C32" s="68" t="s">
        <v>118</v>
      </c>
      <c r="D32" s="69"/>
      <c r="E32" s="60">
        <v>16</v>
      </c>
      <c r="F32" s="658"/>
      <c r="G32" s="56"/>
      <c r="H32" s="620"/>
      <c r="I32" s="56"/>
      <c r="J32" s="57">
        <f t="shared" si="5"/>
        <v>0</v>
      </c>
      <c r="K32" s="56"/>
      <c r="L32" s="59" t="e">
        <f t="shared" si="4"/>
        <v>#DIV/0!</v>
      </c>
    </row>
    <row r="33" spans="1:12" x14ac:dyDescent="0.3">
      <c r="A33" s="677"/>
      <c r="B33" s="61">
        <v>17</v>
      </c>
      <c r="C33" s="70" t="s">
        <v>119</v>
      </c>
      <c r="D33" s="54"/>
      <c r="E33" s="64">
        <v>17</v>
      </c>
      <c r="F33" s="65">
        <f>SUM(F34:F58)</f>
        <v>0</v>
      </c>
      <c r="G33" s="66"/>
      <c r="H33" s="65">
        <f>SUM(H34:H58)</f>
        <v>0</v>
      </c>
      <c r="I33" s="66"/>
      <c r="J33" s="65">
        <f>SUM(J34:J58)</f>
        <v>0</v>
      </c>
      <c r="K33" s="66"/>
      <c r="L33" s="103" t="e">
        <f>SUM(L34:L58)</f>
        <v>#DIV/0!</v>
      </c>
    </row>
    <row r="34" spans="1:12" x14ac:dyDescent="0.3">
      <c r="A34" s="677"/>
      <c r="B34" s="53"/>
      <c r="C34" s="99" t="s">
        <v>769</v>
      </c>
      <c r="D34" s="71"/>
      <c r="E34" s="60"/>
      <c r="F34" s="621"/>
      <c r="G34" s="37"/>
      <c r="H34" s="621"/>
      <c r="I34" s="100"/>
      <c r="J34" s="100">
        <f t="shared" ref="J34:J58" si="6">H34+F34</f>
        <v>0</v>
      </c>
      <c r="K34" s="37"/>
      <c r="L34" s="102" t="e">
        <f t="shared" ref="L34:L58" si="7">J34/$L$5</f>
        <v>#DIV/0!</v>
      </c>
    </row>
    <row r="35" spans="1:12" x14ac:dyDescent="0.3">
      <c r="A35" s="677"/>
      <c r="B35" s="53"/>
      <c r="C35" s="99" t="s">
        <v>770</v>
      </c>
      <c r="D35" s="54"/>
      <c r="E35" s="60"/>
      <c r="F35" s="621"/>
      <c r="G35" s="100"/>
      <c r="H35" s="621"/>
      <c r="I35" s="100"/>
      <c r="J35" s="100">
        <f t="shared" si="6"/>
        <v>0</v>
      </c>
      <c r="K35" s="100"/>
      <c r="L35" s="102" t="e">
        <f t="shared" si="7"/>
        <v>#DIV/0!</v>
      </c>
    </row>
    <row r="36" spans="1:12" x14ac:dyDescent="0.3">
      <c r="A36" s="677"/>
      <c r="B36" s="53"/>
      <c r="C36" s="99" t="s">
        <v>771</v>
      </c>
      <c r="D36" s="54"/>
      <c r="E36" s="60"/>
      <c r="F36" s="621"/>
      <c r="G36" s="100"/>
      <c r="H36" s="621"/>
      <c r="I36" s="100"/>
      <c r="J36" s="100">
        <f t="shared" si="6"/>
        <v>0</v>
      </c>
      <c r="K36" s="100"/>
      <c r="L36" s="102" t="e">
        <f t="shared" si="7"/>
        <v>#DIV/0!</v>
      </c>
    </row>
    <row r="37" spans="1:12" x14ac:dyDescent="0.3">
      <c r="A37" s="677"/>
      <c r="B37" s="53"/>
      <c r="C37" s="99" t="s">
        <v>772</v>
      </c>
      <c r="D37" s="54"/>
      <c r="E37" s="60"/>
      <c r="F37" s="621"/>
      <c r="G37" s="100"/>
      <c r="H37" s="621"/>
      <c r="I37" s="100"/>
      <c r="J37" s="100">
        <f t="shared" si="6"/>
        <v>0</v>
      </c>
      <c r="K37" s="100"/>
      <c r="L37" s="102" t="e">
        <f t="shared" si="7"/>
        <v>#DIV/0!</v>
      </c>
    </row>
    <row r="38" spans="1:12" x14ac:dyDescent="0.3">
      <c r="A38" s="677"/>
      <c r="B38" s="53"/>
      <c r="C38" s="99" t="s">
        <v>773</v>
      </c>
      <c r="D38" s="54"/>
      <c r="E38" s="60"/>
      <c r="F38" s="621"/>
      <c r="G38" s="100"/>
      <c r="H38" s="621"/>
      <c r="I38" s="100"/>
      <c r="J38" s="100">
        <f t="shared" si="6"/>
        <v>0</v>
      </c>
      <c r="K38" s="100"/>
      <c r="L38" s="102" t="e">
        <f t="shared" si="7"/>
        <v>#DIV/0!</v>
      </c>
    </row>
    <row r="39" spans="1:12" x14ac:dyDescent="0.3">
      <c r="A39" s="677"/>
      <c r="B39" s="53"/>
      <c r="C39" s="99" t="s">
        <v>774</v>
      </c>
      <c r="D39" s="54"/>
      <c r="E39" s="60"/>
      <c r="F39" s="621"/>
      <c r="G39" s="100"/>
      <c r="H39" s="621"/>
      <c r="I39" s="100"/>
      <c r="J39" s="100">
        <f t="shared" si="6"/>
        <v>0</v>
      </c>
      <c r="K39" s="100"/>
      <c r="L39" s="102" t="e">
        <f t="shared" si="7"/>
        <v>#DIV/0!</v>
      </c>
    </row>
    <row r="40" spans="1:12" x14ac:dyDescent="0.3">
      <c r="A40" s="677"/>
      <c r="B40" s="53"/>
      <c r="C40" s="99" t="s">
        <v>775</v>
      </c>
      <c r="D40" s="54"/>
      <c r="E40" s="60"/>
      <c r="F40" s="621"/>
      <c r="G40" s="100"/>
      <c r="H40" s="621"/>
      <c r="I40" s="100"/>
      <c r="J40" s="100">
        <f t="shared" si="6"/>
        <v>0</v>
      </c>
      <c r="K40" s="100"/>
      <c r="L40" s="102" t="e">
        <f t="shared" si="7"/>
        <v>#DIV/0!</v>
      </c>
    </row>
    <row r="41" spans="1:12" x14ac:dyDescent="0.3">
      <c r="A41" s="677"/>
      <c r="B41" s="53"/>
      <c r="C41" s="99" t="s">
        <v>776</v>
      </c>
      <c r="D41" s="54"/>
      <c r="E41" s="60"/>
      <c r="F41" s="621"/>
      <c r="G41" s="100"/>
      <c r="H41" s="621"/>
      <c r="I41" s="100"/>
      <c r="J41" s="100">
        <f t="shared" si="6"/>
        <v>0</v>
      </c>
      <c r="K41" s="100"/>
      <c r="L41" s="102" t="e">
        <f t="shared" si="7"/>
        <v>#DIV/0!</v>
      </c>
    </row>
    <row r="42" spans="1:12" x14ac:dyDescent="0.3">
      <c r="A42" s="677"/>
      <c r="B42" s="53"/>
      <c r="C42" s="99" t="s">
        <v>777</v>
      </c>
      <c r="D42" s="54"/>
      <c r="E42" s="60"/>
      <c r="F42" s="621"/>
      <c r="G42" s="100"/>
      <c r="H42" s="621"/>
      <c r="I42" s="100"/>
      <c r="J42" s="100">
        <f t="shared" si="6"/>
        <v>0</v>
      </c>
      <c r="K42" s="100"/>
      <c r="L42" s="102" t="e">
        <f t="shared" si="7"/>
        <v>#DIV/0!</v>
      </c>
    </row>
    <row r="43" spans="1:12" x14ac:dyDescent="0.3">
      <c r="A43" s="677"/>
      <c r="B43" s="53"/>
      <c r="C43" s="99" t="s">
        <v>778</v>
      </c>
      <c r="D43" s="54"/>
      <c r="E43" s="60"/>
      <c r="F43" s="621"/>
      <c r="G43" s="100"/>
      <c r="H43" s="621"/>
      <c r="I43" s="100"/>
      <c r="J43" s="100">
        <f t="shared" si="6"/>
        <v>0</v>
      </c>
      <c r="K43" s="100"/>
      <c r="L43" s="102" t="e">
        <f t="shared" si="7"/>
        <v>#DIV/0!</v>
      </c>
    </row>
    <row r="44" spans="1:12" x14ac:dyDescent="0.3">
      <c r="A44" s="677"/>
      <c r="B44" s="53"/>
      <c r="C44" s="99" t="s">
        <v>779</v>
      </c>
      <c r="D44" s="54"/>
      <c r="E44" s="60"/>
      <c r="F44" s="621"/>
      <c r="G44" s="100"/>
      <c r="H44" s="621"/>
      <c r="I44" s="100"/>
      <c r="J44" s="100">
        <f t="shared" si="6"/>
        <v>0</v>
      </c>
      <c r="K44" s="100"/>
      <c r="L44" s="102" t="e">
        <f t="shared" si="7"/>
        <v>#DIV/0!</v>
      </c>
    </row>
    <row r="45" spans="1:12" x14ac:dyDescent="0.3">
      <c r="A45" s="677"/>
      <c r="B45" s="53"/>
      <c r="C45" s="99" t="s">
        <v>780</v>
      </c>
      <c r="D45" s="54"/>
      <c r="E45" s="60"/>
      <c r="F45" s="621"/>
      <c r="G45" s="100"/>
      <c r="H45" s="621"/>
      <c r="I45" s="100"/>
      <c r="J45" s="100">
        <f t="shared" si="6"/>
        <v>0</v>
      </c>
      <c r="K45" s="100"/>
      <c r="L45" s="102" t="e">
        <f t="shared" si="7"/>
        <v>#DIV/0!</v>
      </c>
    </row>
    <row r="46" spans="1:12" x14ac:dyDescent="0.3">
      <c r="A46" s="677"/>
      <c r="B46" s="53"/>
      <c r="C46" s="99" t="s">
        <v>781</v>
      </c>
      <c r="D46" s="54"/>
      <c r="E46" s="60"/>
      <c r="F46" s="621"/>
      <c r="G46" s="100"/>
      <c r="H46" s="621"/>
      <c r="I46" s="100"/>
      <c r="J46" s="100">
        <f t="shared" si="6"/>
        <v>0</v>
      </c>
      <c r="K46" s="100"/>
      <c r="L46" s="102" t="e">
        <f t="shared" si="7"/>
        <v>#DIV/0!</v>
      </c>
    </row>
    <row r="47" spans="1:12" x14ac:dyDescent="0.3">
      <c r="A47" s="677"/>
      <c r="B47" s="53"/>
      <c r="C47" s="99" t="s">
        <v>773</v>
      </c>
      <c r="D47" s="54"/>
      <c r="E47" s="60"/>
      <c r="F47" s="621"/>
      <c r="G47" s="100"/>
      <c r="H47" s="621"/>
      <c r="I47" s="100"/>
      <c r="J47" s="100">
        <f t="shared" si="6"/>
        <v>0</v>
      </c>
      <c r="K47" s="100"/>
      <c r="L47" s="102" t="e">
        <f t="shared" si="7"/>
        <v>#DIV/0!</v>
      </c>
    </row>
    <row r="48" spans="1:12" x14ac:dyDescent="0.3">
      <c r="A48" s="677"/>
      <c r="B48" s="53"/>
      <c r="C48" s="99" t="s">
        <v>782</v>
      </c>
      <c r="D48" s="54"/>
      <c r="E48" s="60"/>
      <c r="F48" s="621"/>
      <c r="G48" s="100"/>
      <c r="H48" s="621"/>
      <c r="I48" s="100"/>
      <c r="J48" s="100">
        <f t="shared" si="6"/>
        <v>0</v>
      </c>
      <c r="K48" s="100"/>
      <c r="L48" s="102" t="e">
        <f t="shared" si="7"/>
        <v>#DIV/0!</v>
      </c>
    </row>
    <row r="49" spans="1:16" x14ac:dyDescent="0.3">
      <c r="A49" s="677"/>
      <c r="B49" s="53"/>
      <c r="C49" s="99" t="s">
        <v>783</v>
      </c>
      <c r="D49" s="54"/>
      <c r="E49" s="60"/>
      <c r="F49" s="621"/>
      <c r="G49" s="100"/>
      <c r="H49" s="621"/>
      <c r="I49" s="100"/>
      <c r="J49" s="100">
        <f t="shared" si="6"/>
        <v>0</v>
      </c>
      <c r="K49" s="100"/>
      <c r="L49" s="102" t="e">
        <f t="shared" si="7"/>
        <v>#DIV/0!</v>
      </c>
    </row>
    <row r="50" spans="1:16" x14ac:dyDescent="0.3">
      <c r="A50" s="677"/>
      <c r="B50" s="53"/>
      <c r="C50" s="99" t="s">
        <v>120</v>
      </c>
      <c r="D50" s="54"/>
      <c r="E50" s="60"/>
      <c r="F50" s="621"/>
      <c r="G50" s="100"/>
      <c r="H50" s="621"/>
      <c r="I50" s="100"/>
      <c r="J50" s="100">
        <f t="shared" si="6"/>
        <v>0</v>
      </c>
      <c r="K50" s="100"/>
      <c r="L50" s="102" t="e">
        <f t="shared" si="7"/>
        <v>#DIV/0!</v>
      </c>
    </row>
    <row r="51" spans="1:16" x14ac:dyDescent="0.3">
      <c r="A51" s="677"/>
      <c r="B51" s="53"/>
      <c r="C51" s="99" t="inlineStr">
        <is>
          <t>Other deduction 18</t>
        </is>
      </c>
      <c r="D51" s="54"/>
      <c r="E51" s="60"/>
      <c r="F51" s="621"/>
      <c r="G51" s="100"/>
      <c r="H51" s="621"/>
      <c r="I51" s="100"/>
      <c r="J51" s="100">
        <f>H51+F51</f>
        <v>0</v>
      </c>
      <c r="K51" s="100"/>
      <c r="L51" s="102" t="e">
        <f>J51/$L$5</f>
        <v>#DIV/0!</v>
      </c>
    </row>
    <row r="52" spans="1:16" x14ac:dyDescent="0.3">
      <c r="A52" s="677"/>
      <c r="B52" s="53"/>
      <c r="C52" s="99" t="inlineStr">
        <is>
          <t>Other deduction 19</t>
        </is>
      </c>
      <c r="D52" s="54"/>
      <c r="E52" s="60"/>
      <c r="F52" s="621"/>
      <c r="G52" s="100"/>
      <c r="H52" s="621"/>
      <c r="I52" s="100"/>
      <c r="J52" s="100">
        <f>H52+F52</f>
        <v>0</v>
      </c>
      <c r="K52" s="100"/>
      <c r="L52" s="102" t="e">
        <f>J52/$L$5</f>
        <v>#DIV/0!</v>
      </c>
    </row>
    <row r="53" spans="1:16" x14ac:dyDescent="0.3">
      <c r="A53" s="677"/>
      <c r="B53" s="53"/>
      <c r="C53" s="99" t="inlineStr">
        <is>
          <t>Other deduction 20</t>
        </is>
      </c>
      <c r="D53" s="54"/>
      <c r="E53" s="60"/>
      <c r="F53" s="621"/>
      <c r="G53" s="100"/>
      <c r="H53" s="621"/>
      <c r="I53" s="100"/>
      <c r="J53" s="100">
        <f>H53+F53</f>
        <v>0</v>
      </c>
      <c r="K53" s="100"/>
      <c r="L53" s="102" t="e">
        <f>J53/$L$5</f>
        <v>#DIV/0!</v>
      </c>
    </row>
    <row r="54" spans="1:16" x14ac:dyDescent="0.3">
      <c r="A54" s="677"/>
      <c r="B54" s="53"/>
      <c r="C54" s="99" t="inlineStr">
        <is>
          <t>Other deduction 21</t>
        </is>
      </c>
      <c r="D54" s="54"/>
      <c r="E54" s="60"/>
      <c r="F54" s="621"/>
      <c r="G54" s="100"/>
      <c r="H54" s="621"/>
      <c r="I54" s="100"/>
      <c r="J54" s="100">
        <f>H54+F54</f>
        <v>0</v>
      </c>
      <c r="K54" s="100"/>
      <c r="L54" s="102" t="e">
        <f>J54/$L$5</f>
        <v>#DIV/0!</v>
      </c>
    </row>
    <row r="55" spans="1:16" x14ac:dyDescent="0.3">
      <c r="A55" s="677"/>
      <c r="B55" s="53"/>
      <c r="C55" s="99" t="inlineStr">
        <is>
          <t>Other deduction 22</t>
        </is>
      </c>
      <c r="D55" s="54"/>
      <c r="E55" s="60"/>
      <c r="F55" s="621"/>
      <c r="G55" s="100"/>
      <c r="H55" s="621"/>
      <c r="I55" s="100"/>
      <c r="J55" s="100">
        <f>H55+F55</f>
        <v>0</v>
      </c>
      <c r="K55" s="100"/>
      <c r="L55" s="102" t="e">
        <f>J55/$L$5</f>
        <v>#DIV/0!</v>
      </c>
    </row>
    <row r="56" spans="1:16" x14ac:dyDescent="0.3">
      <c r="A56" s="677"/>
      <c r="B56" s="53"/>
      <c r="C56" s="99" t="inlineStr">
        <is>
          <t>Other deduction 23</t>
        </is>
      </c>
      <c r="D56" s="54"/>
      <c r="E56" s="60"/>
      <c r="F56" s="621"/>
      <c r="G56" s="100"/>
      <c r="H56" s="621"/>
      <c r="I56" s="100"/>
      <c r="J56" s="100">
        <f>H56+F56</f>
        <v>0</v>
      </c>
      <c r="K56" s="100"/>
      <c r="L56" s="102" t="e">
        <f>J56/$L$5</f>
        <v>#DIV/0!</v>
      </c>
    </row>
    <row r="57" spans="1:16" x14ac:dyDescent="0.3">
      <c r="A57" s="677"/>
      <c r="B57" s="53"/>
      <c r="C57" s="99" t="inlineStr">
        <is>
          <t>Other deduction 24</t>
        </is>
      </c>
      <c r="D57" s="54"/>
      <c r="E57" s="60"/>
      <c r="F57" s="621"/>
      <c r="G57" s="100"/>
      <c r="H57" s="621"/>
      <c r="I57" s="100"/>
      <c r="J57" s="100">
        <f>H57+F57</f>
        <v>0</v>
      </c>
      <c r="K57" s="100"/>
      <c r="L57" s="102" t="e">
        <f>J57/$L$5</f>
        <v>#DIV/0!</v>
      </c>
    </row>
    <row r="58" spans="1:16" x14ac:dyDescent="0.3">
      <c r="A58" s="677"/>
      <c r="B58" s="53"/>
      <c r="C58" s="99" t="inlineStr">
        <is>
          <t>Other deduction 25</t>
        </is>
      </c>
      <c r="D58" s="54"/>
      <c r="E58" s="60"/>
      <c r="F58" s="621"/>
      <c r="G58" s="100"/>
      <c r="H58" s="621"/>
      <c r="I58" s="100"/>
      <c r="J58" s="100">
        <f>H58+F58</f>
        <v>0</v>
      </c>
      <c r="K58" s="100"/>
      <c r="L58" s="102" t="e">
        <f>J58/$L$5</f>
        <v>#DIV/0!</v>
      </c>
    </row>
    <row r="59" spans="1:16" ht="13.5" thickBot="1" x14ac:dyDescent="0.35">
      <c r="A59" s="678"/>
      <c r="B59" s="79">
        <v>18</v>
      </c>
      <c r="C59" s="80" t="s">
        <v>121</v>
      </c>
      <c r="D59" s="81"/>
      <c r="E59" s="82">
        <v>18</v>
      </c>
      <c r="F59" s="83">
        <f>SUM(F26:F33)</f>
        <v>0</v>
      </c>
      <c r="G59" s="84"/>
      <c r="H59" s="83">
        <f>SUM(H26:H33)</f>
        <v>0</v>
      </c>
      <c r="I59" s="84"/>
      <c r="J59" s="83">
        <f>SUM(J26:J33)</f>
        <v>0</v>
      </c>
      <c r="K59" s="84"/>
      <c r="L59" s="85" t="e">
        <f>SUM(L26:L33)</f>
        <v>#DIV/0!</v>
      </c>
    </row>
    <row r="60" spans="1:16" x14ac:dyDescent="0.3">
      <c r="A60" s="677" t="s">
        <v>122</v>
      </c>
      <c r="B60" s="106">
        <v>19</v>
      </c>
      <c r="C60" s="107" t="s">
        <v>123</v>
      </c>
      <c r="D60" s="108"/>
      <c r="E60" s="109">
        <v>19</v>
      </c>
      <c r="F60" s="112">
        <f>F25-F59</f>
        <v>0</v>
      </c>
      <c r="G60" s="110"/>
      <c r="H60" s="112">
        <f>H25-H59</f>
        <v>0</v>
      </c>
      <c r="I60" s="110"/>
      <c r="J60" s="112">
        <f>J25-J59</f>
        <v>0</v>
      </c>
      <c r="K60" s="110"/>
      <c r="L60" s="111" t="e">
        <f>L25-L59</f>
        <v>#DIV/0!</v>
      </c>
    </row>
    <row r="61" spans="1:16" x14ac:dyDescent="0.3">
      <c r="A61" s="677"/>
      <c r="B61" s="53">
        <v>20</v>
      </c>
      <c r="C61" s="68" t="s">
        <v>124</v>
      </c>
      <c r="D61" s="54"/>
      <c r="E61" s="60">
        <v>20</v>
      </c>
      <c r="F61" s="619"/>
      <c r="G61" s="56"/>
      <c r="H61" s="620"/>
      <c r="I61" s="56"/>
      <c r="J61" s="57">
        <f t="shared" ref="J61:J63" si="8">H61+F61</f>
        <v>0</v>
      </c>
      <c r="K61" s="56"/>
      <c r="L61" s="59" t="e">
        <f>J61/$L$5</f>
        <v>#DIV/0!</v>
      </c>
      <c r="N61" t="s">
        <v>125</v>
      </c>
      <c r="P61" s="549" t="e">
        <f>-J62/J60</f>
        <v>#DIV/0!</v>
      </c>
    </row>
    <row r="62" spans="1:16" x14ac:dyDescent="0.3">
      <c r="A62" s="677"/>
      <c r="B62" s="53" t="s">
        <v>126</v>
      </c>
      <c r="C62" s="68" t="s">
        <v>127</v>
      </c>
      <c r="D62" s="69"/>
      <c r="E62" s="60" t="s">
        <v>126</v>
      </c>
      <c r="F62" s="620"/>
      <c r="G62" s="56"/>
      <c r="H62" s="620"/>
      <c r="I62" s="56"/>
      <c r="J62" s="57">
        <f t="shared" si="8"/>
        <v>0</v>
      </c>
      <c r="K62" s="56"/>
      <c r="L62" s="59" t="e">
        <f>J62/$L$5</f>
        <v>#DIV/0!</v>
      </c>
    </row>
    <row r="63" spans="1:16" x14ac:dyDescent="0.3">
      <c r="A63" s="677"/>
      <c r="B63" s="53" t="s">
        <v>89</v>
      </c>
      <c r="C63" s="68" t="s">
        <v>128</v>
      </c>
      <c r="D63" s="69"/>
      <c r="E63" s="60" t="s">
        <v>89</v>
      </c>
      <c r="F63" s="620"/>
      <c r="G63" s="56"/>
      <c r="H63" s="620"/>
      <c r="I63" s="56"/>
      <c r="J63" s="57">
        <f t="shared" si="8"/>
        <v>0</v>
      </c>
      <c r="K63" s="56"/>
      <c r="L63" s="59" t="e">
        <f>J63/$L$5</f>
        <v>#DIV/0!</v>
      </c>
    </row>
    <row r="64" spans="1:16" ht="13.5" thickBot="1" x14ac:dyDescent="0.35">
      <c r="A64" s="678"/>
      <c r="B64" s="79">
        <v>22</v>
      </c>
      <c r="C64" s="80" t="s">
        <v>129</v>
      </c>
      <c r="D64" s="81"/>
      <c r="E64" s="82">
        <v>22</v>
      </c>
      <c r="F64" s="83">
        <f>F60-F62-F63</f>
      </c>
      <c r="G64" s="84"/>
      <c r="H64" s="83">
        <f>H60-H62-H63</f>
      </c>
      <c r="I64" s="84"/>
      <c r="J64" s="83">
        <f>J60-J62-J63</f>
      </c>
      <c r="K64" s="84"/>
      <c r="L64" s="85">
        <f>L60-L62-L63</f>
      </c>
    </row>
    <row r="65" spans="1:16" ht="13.5" thickBot="1" x14ac:dyDescent="0.35">
      <c r="A65" s="677" t="s">
        <v>130</v>
      </c>
      <c r="B65" s="53" t="s">
        <v>131</v>
      </c>
      <c r="C65" s="80" t="s">
        <v>129</v>
      </c>
      <c r="D65" s="54"/>
      <c r="E65" s="60" t="s">
        <v>131</v>
      </c>
      <c r="F65" s="619"/>
      <c r="G65" s="56"/>
      <c r="H65" s="620"/>
      <c r="I65" s="56"/>
      <c r="J65" s="57">
        <f t="shared" ref="J65" si="9">H65+F65</f>
        <v>0</v>
      </c>
      <c r="K65" s="56"/>
      <c r="L65" s="59" t="e">
        <f>J65/$L$5</f>
        <v>#DIV/0!</v>
      </c>
    </row>
    <row r="66" spans="1:16" x14ac:dyDescent="0.3">
      <c r="A66" s="677"/>
      <c r="B66" s="53" t="s">
        <v>89</v>
      </c>
      <c r="C66" s="68" t="s">
        <v>132</v>
      </c>
      <c r="D66" s="54"/>
      <c r="E66" s="60" t="s">
        <v>89</v>
      </c>
      <c r="F66" s="619"/>
      <c r="G66" s="56"/>
      <c r="H66" s="620"/>
      <c r="I66" s="56"/>
      <c r="J66" s="57">
        <f t="shared" ref="J66:J67" si="10">H66+F66</f>
        <v>0</v>
      </c>
      <c r="K66" s="56"/>
      <c r="L66" s="59" t="e">
        <f>J66/$L$5</f>
        <v>#DIV/0!</v>
      </c>
    </row>
    <row r="67" spans="1:16" x14ac:dyDescent="0.3">
      <c r="A67" s="677"/>
      <c r="B67" s="53" t="s">
        <v>133</v>
      </c>
      <c r="C67" s="68" t="s">
        <v>134</v>
      </c>
      <c r="D67" s="69"/>
      <c r="E67" s="60" t="s">
        <v>133</v>
      </c>
      <c r="F67" s="620"/>
      <c r="G67" s="56"/>
      <c r="H67" s="620"/>
      <c r="I67" s="56"/>
      <c r="J67" s="57">
        <f t="shared" si="10"/>
        <v>0</v>
      </c>
      <c r="K67" s="56"/>
      <c r="L67" s="59" t="e">
        <f>J67/$L$5</f>
        <v>#DIV/0!</v>
      </c>
    </row>
    <row r="68" spans="1:16" ht="13.5" thickBot="1" x14ac:dyDescent="0.35">
      <c r="A68" s="678"/>
      <c r="B68" s="79">
        <v>24</v>
      </c>
      <c r="C68" s="80" t="s">
        <v>135</v>
      </c>
      <c r="D68" s="81"/>
      <c r="E68" s="82">
        <v>24</v>
      </c>
      <c r="F68" s="83">
        <f>F65+F66-F67</f>
        <v>0</v>
      </c>
      <c r="G68" s="84"/>
      <c r="H68" s="83">
        <f>H65+H66-H67</f>
        <v>0</v>
      </c>
      <c r="I68" s="84"/>
      <c r="J68" s="83">
        <f>J65+J66-J67</f>
        <v>0</v>
      </c>
      <c r="K68" s="84"/>
      <c r="L68" s="85" t="e">
        <f>L65+L66-L67</f>
        <v>#DIV/0!</v>
      </c>
      <c r="M68" s="43"/>
    </row>
    <row r="69" spans="1:16" x14ac:dyDescent="0.3">
      <c r="A69" s="94"/>
      <c r="B69" s="95"/>
      <c r="C69" s="96"/>
      <c r="D69" s="88"/>
      <c r="E69" s="95"/>
      <c r="F69" s="97"/>
      <c r="G69" s="95"/>
      <c r="H69" s="97"/>
      <c r="I69" s="95"/>
      <c r="J69" s="97"/>
      <c r="K69" s="95"/>
      <c r="L69" s="97"/>
    </row>
    <row r="70" spans="1:16" x14ac:dyDescent="0.3">
      <c r="A70" s="86"/>
      <c r="B70" s="56"/>
      <c r="C70" s="87"/>
      <c r="D70" s="88"/>
      <c r="E70" s="56"/>
      <c r="F70" s="78"/>
      <c r="G70" s="56"/>
      <c r="H70" s="78"/>
      <c r="I70" s="56"/>
      <c r="J70" s="78"/>
      <c r="K70" s="56"/>
      <c r="L70" s="78"/>
    </row>
    <row r="71" spans="1:16" ht="12.5" x14ac:dyDescent="0.25">
      <c r="B71"/>
      <c r="C71"/>
      <c r="D71" s="21"/>
      <c r="H71"/>
    </row>
    <row r="72" spans="1:16" ht="12.5" x14ac:dyDescent="0.25">
      <c r="B72"/>
      <c r="C72"/>
      <c r="D72" s="21"/>
      <c r="H72"/>
    </row>
  </sheetData>
  <mergeCells count="8">
    <mergeCell ref="A60:A64"/>
    <mergeCell ref="A65:A68"/>
    <mergeCell ref="A1:L1"/>
    <mergeCell ref="A2:L2"/>
    <mergeCell ref="A3:L3"/>
    <mergeCell ref="A4:L4"/>
    <mergeCell ref="A6:A25"/>
    <mergeCell ref="A26:A51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82" orientation="portrait" verticalDpi="300" r:id="rId1"/>
  <headerFooter>
    <oddFooter>&amp;C&amp;8&amp;F/&amp;A_x000D_&amp;D_x000D_&amp;T&amp;R&amp;"Arial,Bold"&amp;8Manager:............._x000D_Senior:................_x000D_Staff:..................._x000D__x000D_&amp;12_x000D_D-100_x000D_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79998168889431442"/>
  </sheetPr>
  <dimension ref="A1:Q83"/>
  <sheetViews>
    <sheetView workbookViewId="0">
      <selection activeCell="P31" sqref="P31"/>
    </sheetView>
  </sheetViews>
  <sheetFormatPr defaultRowHeight="12.5" x14ac:dyDescent="0.25"/>
  <cols>
    <col min="2" max="2" width="3.81640625" customWidth="1"/>
    <col min="3" max="3" width="50.26953125" customWidth="1"/>
    <col min="4" max="4" width="8.54296875" style="22" customWidth="1"/>
    <col min="5" max="5" width="5.26953125" customWidth="1"/>
    <col min="6" max="6" width="13.7265625" customWidth="1"/>
    <col min="7" max="7" width="3.7265625" customWidth="1"/>
    <col min="8" max="8" width="12.7265625" customWidth="1"/>
    <col min="9" max="9" width="3.7265625" customWidth="1"/>
    <col min="10" max="10" width="13.7265625" customWidth="1"/>
    <col min="11" max="11" width="3.7265625" customWidth="1"/>
    <col min="12" max="12" width="17.453125" customWidth="1"/>
    <col min="13" max="14" width="4.26953125" customWidth="1"/>
    <col min="15" max="15" width="16.54296875" customWidth="1"/>
    <col min="16" max="16" width="12.1796875" customWidth="1"/>
    <col min="17" max="17" width="14.54296875" customWidth="1"/>
  </cols>
  <sheetData>
    <row r="1" spans="1:15" ht="13" x14ac:dyDescent="0.3">
      <c r="A1" s="696">
        <f>'Basic Information'!B4</f>
        <v>0</v>
      </c>
      <c r="B1" s="697"/>
      <c r="C1" s="697"/>
      <c r="D1" s="697"/>
      <c r="E1" s="697"/>
      <c r="F1" s="697"/>
      <c r="G1" s="697"/>
      <c r="H1" s="697"/>
      <c r="I1" s="697"/>
      <c r="J1" s="697"/>
      <c r="K1" s="697"/>
      <c r="L1" s="698"/>
    </row>
    <row r="2" spans="1:15" x14ac:dyDescent="0.25">
      <c r="A2" s="699" t="s">
        <v>136</v>
      </c>
      <c r="B2" s="700"/>
      <c r="C2" s="700"/>
      <c r="D2" s="700"/>
      <c r="E2" s="700"/>
      <c r="F2" s="700"/>
      <c r="G2" s="700"/>
      <c r="H2" s="700"/>
      <c r="I2" s="700"/>
      <c r="J2" s="700"/>
      <c r="K2" s="700"/>
      <c r="L2" s="701"/>
    </row>
    <row r="3" spans="1:15" x14ac:dyDescent="0.25">
      <c r="A3" s="702" t="str">
        <f>'Basic Information'!B1</f>
        <v>12/31/24</v>
      </c>
      <c r="B3" s="700"/>
      <c r="C3" s="700"/>
      <c r="D3" s="700"/>
      <c r="E3" s="700"/>
      <c r="F3" s="700"/>
      <c r="G3" s="700"/>
      <c r="H3" s="700"/>
      <c r="I3" s="700"/>
      <c r="J3" s="700"/>
      <c r="K3" s="700"/>
      <c r="L3" s="701"/>
    </row>
    <row r="4" spans="1:15" x14ac:dyDescent="0.25">
      <c r="A4" s="703" t="s">
        <v>137</v>
      </c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5"/>
    </row>
    <row r="5" spans="1:15" ht="13.5" thickBot="1" x14ac:dyDescent="0.35">
      <c r="A5" s="113" t="s">
        <v>138</v>
      </c>
      <c r="B5" s="114"/>
      <c r="C5" s="114"/>
      <c r="D5" s="115"/>
      <c r="E5" s="116"/>
      <c r="F5" s="116"/>
      <c r="G5" s="116"/>
      <c r="H5" s="116"/>
      <c r="I5" s="116"/>
      <c r="J5" s="116"/>
      <c r="K5" s="116"/>
      <c r="L5" s="117"/>
      <c r="O5" s="37"/>
    </row>
    <row r="6" spans="1:15" ht="13" x14ac:dyDescent="0.3">
      <c r="A6" s="706" t="s">
        <v>82</v>
      </c>
      <c r="B6" s="48"/>
      <c r="C6" s="49"/>
      <c r="D6" s="50" t="s">
        <v>43</v>
      </c>
      <c r="E6" s="51"/>
      <c r="F6" s="51" t="s">
        <v>139</v>
      </c>
      <c r="G6" s="51"/>
      <c r="H6" s="51" t="s">
        <v>140</v>
      </c>
      <c r="I6" s="51"/>
      <c r="J6" s="51" t="s">
        <v>141</v>
      </c>
      <c r="K6" s="51"/>
      <c r="L6" s="98" t="s">
        <v>142</v>
      </c>
    </row>
    <row r="7" spans="1:15" ht="12.75" customHeight="1" x14ac:dyDescent="0.3">
      <c r="A7" s="707"/>
      <c r="B7" s="53">
        <v>1</v>
      </c>
      <c r="C7" s="39" t="s">
        <v>143</v>
      </c>
      <c r="D7" s="54"/>
      <c r="E7" s="55">
        <v>1</v>
      </c>
      <c r="F7" s="118"/>
      <c r="G7" s="56"/>
      <c r="H7" s="119"/>
      <c r="I7" s="56"/>
      <c r="J7" s="58"/>
      <c r="K7" s="56"/>
      <c r="L7" s="120">
        <f t="shared" ref="L7:L25" si="0">J7+H7+F7</f>
        <v>0</v>
      </c>
    </row>
    <row r="8" spans="1:15" ht="13" x14ac:dyDescent="0.3">
      <c r="A8" s="707"/>
      <c r="B8" s="53">
        <v>2</v>
      </c>
      <c r="C8" s="39" t="s">
        <v>144</v>
      </c>
      <c r="D8" s="54"/>
      <c r="E8" s="60">
        <v>2</v>
      </c>
      <c r="F8" s="119"/>
      <c r="G8" s="56"/>
      <c r="H8" s="119"/>
      <c r="I8" s="56"/>
      <c r="J8" s="119"/>
      <c r="K8" s="56"/>
      <c r="L8" s="120">
        <f t="shared" si="0"/>
        <v>0</v>
      </c>
    </row>
    <row r="9" spans="1:15" ht="13" x14ac:dyDescent="0.3">
      <c r="A9" s="707"/>
      <c r="B9" s="53" t="s">
        <v>145</v>
      </c>
      <c r="C9" s="39" t="s">
        <v>146</v>
      </c>
      <c r="D9" s="54"/>
      <c r="E9" s="60" t="s">
        <v>145</v>
      </c>
      <c r="F9" s="119"/>
      <c r="G9" s="56"/>
      <c r="H9" s="119"/>
      <c r="I9" s="56"/>
      <c r="J9" s="119"/>
      <c r="K9" s="56"/>
      <c r="L9" s="120">
        <f t="shared" si="0"/>
        <v>0</v>
      </c>
    </row>
    <row r="10" spans="1:15" ht="13" x14ac:dyDescent="0.3">
      <c r="A10" s="707"/>
      <c r="B10" s="53" t="s">
        <v>89</v>
      </c>
      <c r="C10" s="39" t="s">
        <v>147</v>
      </c>
      <c r="D10" s="54"/>
      <c r="E10" s="60" t="s">
        <v>89</v>
      </c>
      <c r="F10" s="119"/>
      <c r="G10" s="56"/>
      <c r="H10" s="119"/>
      <c r="I10" s="56"/>
      <c r="J10" s="119"/>
      <c r="K10" s="56"/>
      <c r="L10" s="120">
        <f t="shared" si="0"/>
        <v>0</v>
      </c>
      <c r="M10" s="21"/>
      <c r="N10" s="21"/>
    </row>
    <row r="11" spans="1:15" ht="26" x14ac:dyDescent="0.3">
      <c r="A11" s="707"/>
      <c r="B11" s="53" t="s">
        <v>133</v>
      </c>
      <c r="C11" s="68" t="s">
        <v>148</v>
      </c>
      <c r="D11" s="69"/>
      <c r="E11" s="60" t="s">
        <v>133</v>
      </c>
      <c r="F11" s="119"/>
      <c r="G11" s="56"/>
      <c r="H11" s="119"/>
      <c r="I11" s="56"/>
      <c r="J11" s="119"/>
      <c r="K11" s="56"/>
      <c r="L11" s="120">
        <f t="shared" si="0"/>
        <v>0</v>
      </c>
      <c r="M11" s="21"/>
      <c r="N11" s="21"/>
    </row>
    <row r="12" spans="1:15" ht="13" x14ac:dyDescent="0.3">
      <c r="A12" s="707"/>
      <c r="B12" s="53">
        <v>4</v>
      </c>
      <c r="C12" s="68" t="s">
        <v>149</v>
      </c>
      <c r="D12" s="69"/>
      <c r="E12" s="60">
        <v>4</v>
      </c>
      <c r="F12" s="119"/>
      <c r="G12" s="56"/>
      <c r="H12" s="119"/>
      <c r="I12" s="56"/>
      <c r="J12" s="119"/>
      <c r="K12" s="56"/>
      <c r="L12" s="120">
        <f t="shared" si="0"/>
        <v>0</v>
      </c>
      <c r="M12" s="21"/>
      <c r="N12" s="21"/>
    </row>
    <row r="13" spans="1:15" ht="13" x14ac:dyDescent="0.3">
      <c r="A13" s="707"/>
      <c r="B13" s="53">
        <v>5</v>
      </c>
      <c r="C13" s="68" t="s">
        <v>150</v>
      </c>
      <c r="D13" s="54"/>
      <c r="E13" s="60">
        <v>5</v>
      </c>
      <c r="F13" s="118"/>
      <c r="G13" s="56"/>
      <c r="H13" s="119"/>
      <c r="I13" s="56"/>
      <c r="J13" s="58"/>
      <c r="K13" s="56"/>
      <c r="L13" s="120">
        <f t="shared" si="0"/>
        <v>0</v>
      </c>
      <c r="M13" s="21"/>
      <c r="N13" s="21"/>
      <c r="O13" s="37"/>
    </row>
    <row r="14" spans="1:15" ht="13" x14ac:dyDescent="0.3">
      <c r="A14" s="707"/>
      <c r="B14" s="53">
        <v>6</v>
      </c>
      <c r="C14" s="68" t="s">
        <v>151</v>
      </c>
      <c r="D14" s="69"/>
      <c r="E14" s="60">
        <v>6</v>
      </c>
      <c r="F14" s="119"/>
      <c r="G14" s="56"/>
      <c r="H14" s="119"/>
      <c r="I14" s="56"/>
      <c r="J14" s="119"/>
      <c r="K14" s="56"/>
      <c r="L14" s="120">
        <f t="shared" si="0"/>
        <v>0</v>
      </c>
      <c r="M14" s="21"/>
      <c r="N14" s="21"/>
    </row>
    <row r="15" spans="1:15" ht="13" x14ac:dyDescent="0.3">
      <c r="A15" s="707"/>
      <c r="B15" s="53" t="s">
        <v>152</v>
      </c>
      <c r="C15" s="68" t="s">
        <v>153</v>
      </c>
      <c r="D15" s="54"/>
      <c r="E15" s="60" t="s">
        <v>152</v>
      </c>
      <c r="F15" s="118"/>
      <c r="G15" s="56"/>
      <c r="H15" s="119"/>
      <c r="I15" s="56"/>
      <c r="J15" s="58"/>
      <c r="K15" s="56"/>
      <c r="L15" s="120">
        <f t="shared" si="0"/>
        <v>0</v>
      </c>
      <c r="M15" s="21"/>
      <c r="N15" s="21"/>
    </row>
    <row r="16" spans="1:15" ht="13" x14ac:dyDescent="0.3">
      <c r="A16" s="707"/>
      <c r="B16" s="53" t="s">
        <v>89</v>
      </c>
      <c r="C16" s="68" t="s">
        <v>154</v>
      </c>
      <c r="D16" s="69"/>
      <c r="E16" s="60" t="s">
        <v>89</v>
      </c>
      <c r="F16" s="118"/>
      <c r="G16" s="101"/>
      <c r="H16" s="118"/>
      <c r="I16" s="101"/>
      <c r="J16" s="118"/>
      <c r="K16" s="101"/>
      <c r="L16" s="120">
        <f t="shared" si="0"/>
        <v>0</v>
      </c>
      <c r="M16" s="21"/>
      <c r="N16" s="21"/>
    </row>
    <row r="17" spans="1:17" ht="13" x14ac:dyDescent="0.3">
      <c r="A17" s="707"/>
      <c r="B17" s="53">
        <v>7</v>
      </c>
      <c r="C17" s="68" t="s">
        <v>155</v>
      </c>
      <c r="D17" s="69"/>
      <c r="E17" s="60">
        <v>7</v>
      </c>
      <c r="F17" s="119"/>
      <c r="G17" s="56"/>
      <c r="H17" s="119"/>
      <c r="I17" s="56"/>
      <c r="J17" s="119"/>
      <c r="K17" s="56"/>
      <c r="L17" s="120">
        <f t="shared" si="0"/>
        <v>0</v>
      </c>
      <c r="M17" s="21"/>
      <c r="N17" s="21"/>
    </row>
    <row r="18" spans="1:17" ht="13" x14ac:dyDescent="0.3">
      <c r="A18" s="707"/>
      <c r="B18" s="53">
        <v>8</v>
      </c>
      <c r="C18" s="68" t="s">
        <v>156</v>
      </c>
      <c r="D18" s="69"/>
      <c r="E18" s="60">
        <v>8</v>
      </c>
      <c r="F18" s="119"/>
      <c r="G18" s="56"/>
      <c r="H18" s="119"/>
      <c r="I18" s="56"/>
      <c r="J18" s="119"/>
      <c r="K18" s="56"/>
      <c r="L18" s="120">
        <f t="shared" si="0"/>
        <v>0</v>
      </c>
      <c r="M18" s="21"/>
      <c r="N18" s="21"/>
    </row>
    <row r="19" spans="1:17" ht="13" x14ac:dyDescent="0.3">
      <c r="A19" s="707"/>
      <c r="B19" s="53" t="s">
        <v>157</v>
      </c>
      <c r="C19" s="68" t="s">
        <v>158</v>
      </c>
      <c r="D19" s="54"/>
      <c r="E19" s="60" t="s">
        <v>157</v>
      </c>
      <c r="F19" s="118"/>
      <c r="G19" s="56"/>
      <c r="H19" s="119"/>
      <c r="I19" s="56"/>
      <c r="J19" s="58"/>
      <c r="K19" s="56"/>
      <c r="L19" s="120">
        <f t="shared" si="0"/>
        <v>0</v>
      </c>
      <c r="M19" s="21"/>
      <c r="N19" s="21"/>
    </row>
    <row r="20" spans="1:17" ht="13" x14ac:dyDescent="0.3">
      <c r="A20" s="707"/>
      <c r="B20" s="53" t="s">
        <v>89</v>
      </c>
      <c r="C20" s="68" t="s">
        <v>159</v>
      </c>
      <c r="D20" s="69"/>
      <c r="E20" s="60" t="s">
        <v>89</v>
      </c>
      <c r="F20" s="119"/>
      <c r="G20" s="56"/>
      <c r="H20" s="119"/>
      <c r="I20" s="56"/>
      <c r="J20" s="119"/>
      <c r="K20" s="56"/>
      <c r="L20" s="120">
        <f t="shared" si="0"/>
        <v>0</v>
      </c>
      <c r="M20" s="21"/>
      <c r="N20" s="21"/>
    </row>
    <row r="21" spans="1:17" ht="13" x14ac:dyDescent="0.3">
      <c r="A21" s="707"/>
      <c r="B21" s="53" t="s">
        <v>133</v>
      </c>
      <c r="C21" s="68" t="s">
        <v>160</v>
      </c>
      <c r="D21" s="69"/>
      <c r="E21" s="60" t="s">
        <v>133</v>
      </c>
      <c r="F21" s="119"/>
      <c r="G21" s="56"/>
      <c r="H21" s="119"/>
      <c r="I21" s="56"/>
      <c r="J21" s="119"/>
      <c r="K21" s="56"/>
      <c r="L21" s="120">
        <f t="shared" si="0"/>
        <v>0</v>
      </c>
      <c r="M21" s="21"/>
      <c r="N21" s="21"/>
    </row>
    <row r="22" spans="1:17" ht="13" x14ac:dyDescent="0.3">
      <c r="A22" s="707"/>
      <c r="B22" s="53">
        <v>10</v>
      </c>
      <c r="C22" s="68" t="s">
        <v>161</v>
      </c>
      <c r="D22" s="69"/>
      <c r="E22" s="60">
        <v>10</v>
      </c>
      <c r="F22" s="119"/>
      <c r="G22" s="56"/>
      <c r="H22" s="119"/>
      <c r="I22" s="56"/>
      <c r="J22" s="119"/>
      <c r="K22" s="56"/>
      <c r="L22" s="120">
        <f t="shared" si="0"/>
        <v>0</v>
      </c>
      <c r="M22" s="21"/>
      <c r="N22" s="21"/>
    </row>
    <row r="23" spans="1:17" ht="13" x14ac:dyDescent="0.3">
      <c r="A23" s="707"/>
      <c r="B23" s="61">
        <v>11</v>
      </c>
      <c r="C23" s="70" t="s">
        <v>162</v>
      </c>
      <c r="D23" s="54"/>
      <c r="E23" s="64">
        <v>11</v>
      </c>
      <c r="F23" s="65">
        <f>SUM(F24:F26)</f>
        <v>0</v>
      </c>
      <c r="G23" s="66"/>
      <c r="H23" s="65">
        <f>SUM(H24:H26)</f>
        <v>0</v>
      </c>
      <c r="I23" s="66"/>
      <c r="J23" s="65">
        <f>SUM(J24:J26)</f>
        <v>0</v>
      </c>
      <c r="K23" s="66"/>
      <c r="L23" s="120">
        <f t="shared" si="0"/>
        <v>0</v>
      </c>
      <c r="M23" s="21"/>
      <c r="N23" s="21"/>
      <c r="O23" s="121"/>
      <c r="Q23" s="122"/>
    </row>
    <row r="24" spans="1:17" ht="13" x14ac:dyDescent="0.3">
      <c r="A24" s="123"/>
      <c r="B24" s="53"/>
      <c r="C24" s="124" t="s">
        <v>106</v>
      </c>
      <c r="D24" s="71"/>
      <c r="E24" s="60"/>
      <c r="F24" s="58"/>
      <c r="G24" s="57"/>
      <c r="H24" s="58"/>
      <c r="I24" s="57"/>
      <c r="J24" s="58"/>
      <c r="K24" s="57"/>
      <c r="L24" s="120">
        <f t="shared" si="0"/>
        <v>0</v>
      </c>
      <c r="M24" s="21"/>
      <c r="N24" s="21"/>
      <c r="O24" s="22"/>
      <c r="P24" s="21"/>
      <c r="Q24" s="22"/>
    </row>
    <row r="25" spans="1:17" ht="13" x14ac:dyDescent="0.3">
      <c r="A25" s="123"/>
      <c r="B25" s="53"/>
      <c r="C25" s="124" t="s">
        <v>107</v>
      </c>
      <c r="D25" s="54"/>
      <c r="E25" s="60"/>
      <c r="F25" s="58"/>
      <c r="G25" s="57"/>
      <c r="H25" s="58"/>
      <c r="I25" s="57"/>
      <c r="J25" s="58"/>
      <c r="K25" s="57"/>
      <c r="L25" s="120">
        <f t="shared" si="0"/>
        <v>0</v>
      </c>
      <c r="M25" s="21"/>
      <c r="N25" s="21"/>
      <c r="O25" s="33"/>
      <c r="P25" s="125"/>
      <c r="Q25" s="23"/>
    </row>
    <row r="26" spans="1:17" ht="13" x14ac:dyDescent="0.3">
      <c r="A26" s="123"/>
      <c r="B26" s="53"/>
      <c r="C26" s="124" t="s">
        <v>108</v>
      </c>
      <c r="D26" s="54"/>
      <c r="E26" s="60"/>
      <c r="F26" s="58"/>
      <c r="G26" s="57"/>
      <c r="H26" s="58"/>
      <c r="I26" s="57"/>
      <c r="J26" s="58"/>
      <c r="K26" s="57"/>
      <c r="L26" s="120"/>
      <c r="M26" s="21"/>
      <c r="N26" s="21"/>
      <c r="O26" s="33"/>
      <c r="P26" s="125"/>
      <c r="Q26" s="23"/>
    </row>
    <row r="27" spans="1:17" ht="18.75" customHeight="1" x14ac:dyDescent="0.3">
      <c r="A27" s="691" t="s">
        <v>110</v>
      </c>
      <c r="B27" s="53">
        <v>12</v>
      </c>
      <c r="C27" s="39" t="s">
        <v>163</v>
      </c>
      <c r="D27" s="54"/>
      <c r="E27" s="60">
        <v>12</v>
      </c>
      <c r="F27" s="119"/>
      <c r="G27" s="56"/>
      <c r="H27" s="119"/>
      <c r="I27" s="56"/>
      <c r="J27" s="119"/>
      <c r="K27" s="56"/>
      <c r="L27" s="120">
        <f t="shared" ref="L27:L45" si="1">J27+H27+F27</f>
        <v>0</v>
      </c>
      <c r="M27" s="21"/>
      <c r="N27" s="21"/>
      <c r="O27" s="126"/>
      <c r="P27" s="91"/>
      <c r="Q27" s="23"/>
    </row>
    <row r="28" spans="1:17" ht="13" x14ac:dyDescent="0.3">
      <c r="A28" s="691"/>
      <c r="B28" s="53" t="s">
        <v>164</v>
      </c>
      <c r="C28" s="39" t="s">
        <v>165</v>
      </c>
      <c r="D28" s="54"/>
      <c r="E28" s="60" t="s">
        <v>164</v>
      </c>
      <c r="F28" s="119"/>
      <c r="G28" s="56"/>
      <c r="H28" s="119"/>
      <c r="I28" s="56"/>
      <c r="J28" s="119"/>
      <c r="K28" s="56"/>
      <c r="L28" s="120">
        <f t="shared" si="1"/>
        <v>0</v>
      </c>
      <c r="M28" s="21"/>
      <c r="N28" s="21"/>
      <c r="O28" s="18"/>
      <c r="P28" s="18"/>
      <c r="Q28" s="18"/>
    </row>
    <row r="29" spans="1:17" ht="13" x14ac:dyDescent="0.3">
      <c r="A29" s="691"/>
      <c r="B29" s="53" t="s">
        <v>89</v>
      </c>
      <c r="C29" s="39" t="s">
        <v>166</v>
      </c>
      <c r="D29" s="54"/>
      <c r="E29" s="60" t="s">
        <v>167</v>
      </c>
      <c r="F29" s="118"/>
      <c r="G29" s="101"/>
      <c r="H29" s="118"/>
      <c r="I29" s="101"/>
      <c r="J29" s="118"/>
      <c r="K29" s="101"/>
      <c r="L29" s="120">
        <f t="shared" si="1"/>
        <v>0</v>
      </c>
      <c r="M29" s="21"/>
      <c r="N29" s="21"/>
      <c r="O29" s="127"/>
    </row>
    <row r="30" spans="1:17" ht="13" x14ac:dyDescent="0.3">
      <c r="A30" s="691"/>
      <c r="B30" s="53" t="s">
        <v>133</v>
      </c>
      <c r="C30" s="39" t="s">
        <v>168</v>
      </c>
      <c r="D30" s="54"/>
      <c r="E30" s="60" t="s">
        <v>169</v>
      </c>
      <c r="F30" s="119"/>
      <c r="G30" s="56"/>
      <c r="H30" s="119"/>
      <c r="I30" s="56"/>
      <c r="J30" s="119"/>
      <c r="K30" s="56"/>
      <c r="L30" s="120">
        <f t="shared" si="1"/>
        <v>0</v>
      </c>
      <c r="M30" s="21"/>
      <c r="N30" s="21"/>
      <c r="O30" s="127"/>
    </row>
    <row r="31" spans="1:17" ht="13" x14ac:dyDescent="0.3">
      <c r="A31" s="691"/>
      <c r="B31" s="61" t="s">
        <v>170</v>
      </c>
      <c r="C31" s="62" t="s">
        <v>119</v>
      </c>
      <c r="D31" s="63"/>
      <c r="E31" s="64" t="s">
        <v>171</v>
      </c>
      <c r="F31" s="65">
        <f>SUM(F32:F36)</f>
        <v>0</v>
      </c>
      <c r="G31" s="66"/>
      <c r="H31" s="65">
        <f>SUM(H32:H36)</f>
        <v>0</v>
      </c>
      <c r="I31" s="66"/>
      <c r="J31" s="65">
        <f>SUM(J32:J36)</f>
        <v>0</v>
      </c>
      <c r="K31" s="66"/>
      <c r="L31" s="120">
        <f t="shared" si="1"/>
        <v>0</v>
      </c>
      <c r="M31" s="21"/>
      <c r="N31" s="21"/>
    </row>
    <row r="32" spans="1:17" ht="13" x14ac:dyDescent="0.3">
      <c r="A32" s="128"/>
      <c r="B32" s="53"/>
      <c r="C32" s="124" t="s">
        <v>172</v>
      </c>
      <c r="D32" s="54"/>
      <c r="E32" s="60"/>
      <c r="F32" s="58"/>
      <c r="G32" s="57"/>
      <c r="H32" s="58"/>
      <c r="I32" s="57"/>
      <c r="J32" s="58"/>
      <c r="K32" s="57"/>
      <c r="L32" s="120">
        <f t="shared" si="1"/>
        <v>0</v>
      </c>
      <c r="M32" s="21"/>
      <c r="N32" s="21"/>
    </row>
    <row r="33" spans="1:15" ht="13" x14ac:dyDescent="0.3">
      <c r="A33" s="128"/>
      <c r="B33" s="53"/>
      <c r="C33" s="124" t="s">
        <v>173</v>
      </c>
      <c r="D33" s="54"/>
      <c r="E33" s="60"/>
      <c r="F33" s="58"/>
      <c r="G33" s="57"/>
      <c r="H33" s="58"/>
      <c r="I33" s="57"/>
      <c r="J33" s="58"/>
      <c r="K33" s="57"/>
      <c r="L33" s="120">
        <f t="shared" si="1"/>
        <v>0</v>
      </c>
      <c r="M33" s="21"/>
      <c r="N33" s="21"/>
    </row>
    <row r="34" spans="1:15" ht="13" x14ac:dyDescent="0.3">
      <c r="A34" s="128"/>
      <c r="B34" s="53"/>
      <c r="C34" s="124" t="s">
        <v>174</v>
      </c>
      <c r="D34" s="54"/>
      <c r="E34" s="60"/>
      <c r="F34" s="58"/>
      <c r="G34" s="57"/>
      <c r="H34" s="58"/>
      <c r="I34" s="57"/>
      <c r="J34" s="58"/>
      <c r="K34" s="57"/>
      <c r="L34" s="120">
        <f t="shared" si="1"/>
        <v>0</v>
      </c>
      <c r="M34" s="21"/>
      <c r="N34" s="21"/>
    </row>
    <row r="35" spans="1:15" ht="13" x14ac:dyDescent="0.3">
      <c r="A35" s="128"/>
      <c r="B35" s="53"/>
      <c r="C35" s="124" t="s">
        <v>175</v>
      </c>
      <c r="D35" s="54"/>
      <c r="E35" s="60"/>
      <c r="F35" s="58"/>
      <c r="G35" s="57"/>
      <c r="H35" s="58"/>
      <c r="I35" s="57"/>
      <c r="J35" s="58"/>
      <c r="K35" s="57"/>
      <c r="L35" s="120">
        <f t="shared" si="1"/>
        <v>0</v>
      </c>
      <c r="M35" s="21"/>
      <c r="N35" s="21"/>
    </row>
    <row r="36" spans="1:15" ht="13" x14ac:dyDescent="0.3">
      <c r="A36" s="128"/>
      <c r="B36" s="53"/>
      <c r="C36" s="124" t="s">
        <v>176</v>
      </c>
      <c r="D36" s="54"/>
      <c r="E36" s="60"/>
      <c r="F36" s="58"/>
      <c r="G36" s="57"/>
      <c r="H36" s="58"/>
      <c r="I36" s="57"/>
      <c r="J36" s="58"/>
      <c r="K36" s="57"/>
      <c r="L36" s="120">
        <f t="shared" si="1"/>
        <v>0</v>
      </c>
      <c r="M36" s="21"/>
      <c r="N36" s="21"/>
    </row>
    <row r="37" spans="1:15" ht="13" x14ac:dyDescent="0.3">
      <c r="A37" s="128"/>
      <c r="B37" s="53" t="s">
        <v>177</v>
      </c>
      <c r="C37" s="68" t="s">
        <v>178</v>
      </c>
      <c r="D37" s="69"/>
      <c r="E37" s="60" t="s">
        <v>177</v>
      </c>
      <c r="F37" s="119"/>
      <c r="G37" s="56"/>
      <c r="H37" s="119"/>
      <c r="I37" s="56"/>
      <c r="J37" s="119"/>
      <c r="K37" s="56"/>
      <c r="L37" s="120">
        <f t="shared" si="1"/>
        <v>0</v>
      </c>
      <c r="M37" s="21"/>
      <c r="N37" s="21"/>
    </row>
    <row r="38" spans="1:15" ht="13" x14ac:dyDescent="0.3">
      <c r="A38" s="128"/>
      <c r="B38" s="53" t="s">
        <v>89</v>
      </c>
      <c r="C38" s="68" t="s">
        <v>179</v>
      </c>
      <c r="D38" s="69"/>
      <c r="E38" s="60" t="s">
        <v>89</v>
      </c>
      <c r="F38" s="119"/>
      <c r="G38" s="56"/>
      <c r="H38" s="119"/>
      <c r="I38" s="56"/>
      <c r="J38" s="119"/>
      <c r="K38" s="56"/>
      <c r="L38" s="120">
        <f t="shared" si="1"/>
        <v>0</v>
      </c>
    </row>
    <row r="39" spans="1:15" ht="13" x14ac:dyDescent="0.3">
      <c r="A39" s="128"/>
      <c r="B39" s="61" t="s">
        <v>133</v>
      </c>
      <c r="C39" s="70" t="s">
        <v>180</v>
      </c>
      <c r="D39" s="129"/>
      <c r="E39" s="64" t="s">
        <v>133</v>
      </c>
      <c r="F39" s="130"/>
      <c r="G39" s="66"/>
      <c r="H39" s="130"/>
      <c r="I39" s="66"/>
      <c r="J39" s="130"/>
      <c r="K39" s="66"/>
      <c r="L39" s="120">
        <f t="shared" si="1"/>
        <v>0</v>
      </c>
    </row>
    <row r="40" spans="1:15" ht="13" x14ac:dyDescent="0.3">
      <c r="A40" s="691" t="s">
        <v>181</v>
      </c>
      <c r="B40" s="53" t="s">
        <v>182</v>
      </c>
      <c r="C40" s="68" t="s">
        <v>183</v>
      </c>
      <c r="D40" s="69"/>
      <c r="E40" s="60" t="s">
        <v>182</v>
      </c>
      <c r="F40" s="119"/>
      <c r="G40" s="56"/>
      <c r="H40" s="119"/>
      <c r="I40" s="56"/>
      <c r="J40" s="119"/>
      <c r="K40" s="56"/>
      <c r="L40" s="120">
        <f t="shared" si="1"/>
        <v>0</v>
      </c>
    </row>
    <row r="41" spans="1:15" ht="13" x14ac:dyDescent="0.3">
      <c r="A41" s="691"/>
      <c r="B41" s="53" t="s">
        <v>89</v>
      </c>
      <c r="C41" s="68" t="s">
        <v>184</v>
      </c>
      <c r="D41" s="69"/>
      <c r="E41" s="60" t="s">
        <v>185</v>
      </c>
      <c r="F41" s="119"/>
      <c r="G41" s="56"/>
      <c r="H41" s="119"/>
      <c r="I41" s="56"/>
      <c r="J41" s="119"/>
      <c r="K41" s="56"/>
      <c r="L41" s="120">
        <f t="shared" si="1"/>
        <v>0</v>
      </c>
    </row>
    <row r="42" spans="1:15" ht="26" x14ac:dyDescent="0.3">
      <c r="A42" s="691"/>
      <c r="B42" s="53" t="s">
        <v>133</v>
      </c>
      <c r="C42" s="68" t="s">
        <v>186</v>
      </c>
      <c r="D42" s="69"/>
      <c r="E42" s="60" t="s">
        <v>187</v>
      </c>
      <c r="F42" s="119"/>
      <c r="G42" s="56"/>
      <c r="H42" s="119"/>
      <c r="I42" s="56"/>
      <c r="J42" s="119"/>
      <c r="K42" s="56"/>
      <c r="L42" s="120">
        <f t="shared" si="1"/>
        <v>0</v>
      </c>
    </row>
    <row r="43" spans="1:15" ht="13" x14ac:dyDescent="0.3">
      <c r="A43" s="691"/>
      <c r="B43" s="53" t="s">
        <v>170</v>
      </c>
      <c r="C43" s="68" t="s">
        <v>188</v>
      </c>
      <c r="D43" s="69"/>
      <c r="E43" s="60" t="s">
        <v>189</v>
      </c>
      <c r="F43" s="119"/>
      <c r="G43" s="56"/>
      <c r="H43" s="119"/>
      <c r="I43" s="56"/>
      <c r="J43" s="119"/>
      <c r="K43" s="56"/>
      <c r="L43" s="120">
        <f t="shared" si="1"/>
        <v>0</v>
      </c>
    </row>
    <row r="44" spans="1:15" ht="13" x14ac:dyDescent="0.3">
      <c r="A44" s="691"/>
      <c r="B44" s="53" t="s">
        <v>190</v>
      </c>
      <c r="C44" s="68" t="s">
        <v>191</v>
      </c>
      <c r="D44" s="69"/>
      <c r="E44" s="60" t="s">
        <v>192</v>
      </c>
      <c r="F44" s="119"/>
      <c r="G44" s="56"/>
      <c r="H44" s="119"/>
      <c r="I44" s="56"/>
      <c r="J44" s="119"/>
      <c r="K44" s="56"/>
      <c r="L44" s="120">
        <f t="shared" si="1"/>
        <v>0</v>
      </c>
    </row>
    <row r="45" spans="1:15" ht="13.5" thickBot="1" x14ac:dyDescent="0.35">
      <c r="A45" s="692"/>
      <c r="B45" s="131" t="s">
        <v>193</v>
      </c>
      <c r="C45" s="132" t="s">
        <v>194</v>
      </c>
      <c r="D45" s="133"/>
      <c r="E45" s="134" t="s">
        <v>195</v>
      </c>
      <c r="F45" s="135"/>
      <c r="G45" s="136"/>
      <c r="H45" s="135"/>
      <c r="I45" s="136"/>
      <c r="J45" s="135"/>
      <c r="K45" s="136"/>
      <c r="L45" s="137">
        <f t="shared" si="1"/>
        <v>0</v>
      </c>
      <c r="O45" s="37"/>
    </row>
    <row r="46" spans="1:15" ht="13" x14ac:dyDescent="0.3">
      <c r="A46" s="138"/>
      <c r="B46" s="91"/>
      <c r="C46" s="12"/>
      <c r="D46" s="90"/>
      <c r="E46" s="91"/>
      <c r="F46" s="91"/>
      <c r="G46" s="91"/>
      <c r="H46" s="91"/>
      <c r="I46" s="91"/>
      <c r="J46" s="91"/>
      <c r="K46" s="91"/>
      <c r="L46" s="23"/>
      <c r="O46" s="37"/>
    </row>
    <row r="47" spans="1:15" ht="13.5" thickBot="1" x14ac:dyDescent="0.35">
      <c r="A47" s="138"/>
      <c r="B47" s="91"/>
      <c r="C47" s="89" t="s">
        <v>109</v>
      </c>
      <c r="D47" s="90"/>
      <c r="E47" s="91"/>
      <c r="F47" s="92">
        <f>F7+F13+F15+F19+F23-F29-F31</f>
        <v>0</v>
      </c>
      <c r="G47" s="93"/>
      <c r="H47" s="92">
        <f>H7+H13+H15+H19+H23-H29-H31</f>
        <v>0</v>
      </c>
      <c r="I47" s="93"/>
      <c r="J47" s="92">
        <f>J7+J13+J15+J19+J23-J29-J31</f>
        <v>0</v>
      </c>
      <c r="K47" s="93"/>
      <c r="L47" s="92">
        <f>L7+L13+L15+L19+L23-L29-L31</f>
        <v>0</v>
      </c>
      <c r="M47" s="435" t="s">
        <v>196</v>
      </c>
      <c r="O47" s="37"/>
    </row>
    <row r="48" spans="1:15" ht="13.5" thickTop="1" x14ac:dyDescent="0.3">
      <c r="A48" s="138"/>
      <c r="B48" s="91"/>
      <c r="C48" s="12"/>
      <c r="D48" s="90"/>
      <c r="E48" s="91"/>
      <c r="F48" s="91"/>
      <c r="G48" s="91"/>
      <c r="H48" s="91"/>
      <c r="I48" s="91"/>
      <c r="J48" s="91"/>
      <c r="K48" s="91"/>
      <c r="L48" s="23"/>
      <c r="O48" s="37"/>
    </row>
    <row r="49" spans="1:15" ht="13.5" thickBot="1" x14ac:dyDescent="0.35">
      <c r="A49" s="138"/>
      <c r="B49" s="91"/>
      <c r="C49" s="12"/>
      <c r="D49" s="90"/>
      <c r="E49" s="91"/>
      <c r="F49" s="91"/>
      <c r="G49" s="91"/>
      <c r="H49" s="91"/>
      <c r="I49" s="91"/>
      <c r="J49" s="91"/>
      <c r="K49" s="91"/>
      <c r="L49" s="23"/>
      <c r="O49" s="37"/>
    </row>
    <row r="50" spans="1:15" ht="13" x14ac:dyDescent="0.3">
      <c r="A50" s="693" t="s">
        <v>197</v>
      </c>
      <c r="B50" s="139" t="s">
        <v>198</v>
      </c>
      <c r="C50" s="140" t="s">
        <v>199</v>
      </c>
      <c r="D50" s="141"/>
      <c r="E50" s="142" t="s">
        <v>198</v>
      </c>
      <c r="F50" s="143" t="s">
        <v>200</v>
      </c>
      <c r="G50" s="144"/>
      <c r="H50" s="143" t="s">
        <v>200</v>
      </c>
      <c r="I50" s="144"/>
      <c r="J50" s="143" t="s">
        <v>200</v>
      </c>
      <c r="K50" s="144"/>
      <c r="L50" s="145"/>
      <c r="O50" s="37"/>
    </row>
    <row r="51" spans="1:15" ht="13" x14ac:dyDescent="0.3">
      <c r="A51" s="694"/>
      <c r="B51" s="146" t="s">
        <v>89</v>
      </c>
      <c r="C51" s="12" t="s">
        <v>201</v>
      </c>
      <c r="D51" s="147"/>
      <c r="E51" s="148" t="s">
        <v>89</v>
      </c>
      <c r="F51" s="23">
        <f>SUM(F7:F23)</f>
        <v>0</v>
      </c>
      <c r="G51" s="91"/>
      <c r="H51" s="23">
        <f>SUM(H7:H23)</f>
        <v>0</v>
      </c>
      <c r="I51" s="91"/>
      <c r="J51" s="23">
        <f>SUM(J7:J23)</f>
        <v>0</v>
      </c>
      <c r="K51" s="91"/>
      <c r="L51" s="120">
        <f t="shared" ref="L51:L80" si="2">J51+H51+F51</f>
        <v>0</v>
      </c>
    </row>
    <row r="52" spans="1:15" ht="13" x14ac:dyDescent="0.3">
      <c r="A52" s="694"/>
      <c r="B52" s="146" t="s">
        <v>133</v>
      </c>
      <c r="C52" s="12" t="s">
        <v>202</v>
      </c>
      <c r="D52" s="147"/>
      <c r="E52" s="148" t="s">
        <v>133</v>
      </c>
      <c r="F52" s="23">
        <f>SUM(F18:F23)</f>
        <v>0</v>
      </c>
      <c r="G52" s="91"/>
      <c r="H52" s="23">
        <f>SUM(H18:H23)</f>
        <v>0</v>
      </c>
      <c r="I52" s="91"/>
      <c r="J52" s="23">
        <f>SUM(J18:J23)</f>
        <v>0</v>
      </c>
      <c r="K52" s="91"/>
      <c r="L52" s="120">
        <f t="shared" si="2"/>
        <v>0</v>
      </c>
      <c r="O52" s="37"/>
    </row>
    <row r="53" spans="1:15" ht="13" x14ac:dyDescent="0.3">
      <c r="A53" s="694"/>
      <c r="B53" s="146"/>
      <c r="C53" s="12" t="s">
        <v>203</v>
      </c>
      <c r="D53" s="147"/>
      <c r="E53" s="148"/>
      <c r="F53" s="23"/>
      <c r="G53" s="91"/>
      <c r="H53" s="23"/>
      <c r="I53" s="91"/>
      <c r="J53" s="23"/>
      <c r="K53" s="91"/>
      <c r="L53" s="120">
        <f t="shared" si="2"/>
        <v>0</v>
      </c>
    </row>
    <row r="54" spans="1:15" ht="13" x14ac:dyDescent="0.3">
      <c r="A54" s="694"/>
      <c r="B54" s="146" t="s">
        <v>170</v>
      </c>
      <c r="C54" s="12" t="s">
        <v>204</v>
      </c>
      <c r="D54" s="147"/>
      <c r="E54" s="148" t="s">
        <v>170</v>
      </c>
      <c r="F54" s="23">
        <f>SUM(F7:F17)</f>
        <v>0</v>
      </c>
      <c r="G54" s="91"/>
      <c r="H54" s="23">
        <f>SUM(H7:H17)</f>
        <v>0</v>
      </c>
      <c r="I54" s="91"/>
      <c r="J54" s="23">
        <f>SUM(J7:J17)</f>
        <v>0</v>
      </c>
      <c r="K54" s="91"/>
      <c r="L54" s="120">
        <f t="shared" si="2"/>
        <v>0</v>
      </c>
      <c r="O54" s="127"/>
    </row>
    <row r="55" spans="1:15" ht="13" x14ac:dyDescent="0.3">
      <c r="A55" s="694"/>
      <c r="B55" s="146" t="s">
        <v>190</v>
      </c>
      <c r="C55" s="12" t="s">
        <v>205</v>
      </c>
      <c r="D55" s="147"/>
      <c r="E55" s="148" t="s">
        <v>190</v>
      </c>
      <c r="F55" s="23"/>
      <c r="G55" s="91"/>
      <c r="H55" s="23"/>
      <c r="I55" s="91"/>
      <c r="J55" s="23"/>
      <c r="K55" s="91"/>
      <c r="L55" s="120">
        <f t="shared" si="2"/>
        <v>0</v>
      </c>
    </row>
    <row r="56" spans="1:15" ht="13" x14ac:dyDescent="0.3">
      <c r="A56" s="694"/>
      <c r="B56" s="146" t="s">
        <v>193</v>
      </c>
      <c r="C56" s="12" t="s">
        <v>206</v>
      </c>
      <c r="D56" s="147"/>
      <c r="E56" s="148" t="s">
        <v>193</v>
      </c>
      <c r="F56" s="14"/>
      <c r="G56" s="91"/>
      <c r="H56" s="14"/>
      <c r="I56" s="91"/>
      <c r="J56" s="14"/>
      <c r="K56" s="91"/>
      <c r="L56" s="120">
        <f t="shared" si="2"/>
        <v>0</v>
      </c>
    </row>
    <row r="57" spans="1:15" ht="13" x14ac:dyDescent="0.3">
      <c r="A57" s="694"/>
      <c r="B57" s="146"/>
      <c r="C57" s="12" t="s">
        <v>207</v>
      </c>
      <c r="D57" s="147"/>
      <c r="E57" s="148"/>
      <c r="F57" s="23"/>
      <c r="G57" s="91"/>
      <c r="H57" s="23"/>
      <c r="I57" s="91"/>
      <c r="J57" s="23"/>
      <c r="K57" s="91"/>
      <c r="L57" s="120">
        <f t="shared" si="2"/>
        <v>0</v>
      </c>
    </row>
    <row r="58" spans="1:15" ht="13" x14ac:dyDescent="0.3">
      <c r="A58" s="694"/>
      <c r="B58" s="146" t="s">
        <v>208</v>
      </c>
      <c r="C58" s="12" t="s">
        <v>209</v>
      </c>
      <c r="D58" s="147"/>
      <c r="E58" s="148" t="s">
        <v>208</v>
      </c>
      <c r="F58" s="23">
        <f>+F29</f>
        <v>0</v>
      </c>
      <c r="G58" s="91"/>
      <c r="H58" s="23">
        <f>+H29</f>
        <v>0</v>
      </c>
      <c r="I58" s="91"/>
      <c r="J58" s="23">
        <f>+J29</f>
        <v>0</v>
      </c>
      <c r="K58" s="91"/>
      <c r="L58" s="120">
        <f t="shared" si="2"/>
        <v>0</v>
      </c>
    </row>
    <row r="59" spans="1:15" ht="13" x14ac:dyDescent="0.3">
      <c r="A59" s="694"/>
      <c r="B59" s="146" t="s">
        <v>210</v>
      </c>
      <c r="C59" s="12" t="s">
        <v>132</v>
      </c>
      <c r="D59" s="147"/>
      <c r="E59" s="148" t="s">
        <v>210</v>
      </c>
      <c r="F59" s="23"/>
      <c r="G59" s="91"/>
      <c r="H59" s="23"/>
      <c r="I59" s="91"/>
      <c r="J59" s="23"/>
      <c r="K59" s="91"/>
      <c r="L59" s="120">
        <f t="shared" si="2"/>
        <v>0</v>
      </c>
      <c r="O59" s="37"/>
    </row>
    <row r="60" spans="1:15" ht="25.5" x14ac:dyDescent="0.3">
      <c r="A60" s="694"/>
      <c r="B60" s="146"/>
      <c r="C60" s="12" t="s">
        <v>211</v>
      </c>
      <c r="D60" s="147"/>
      <c r="E60" s="148"/>
      <c r="F60" s="23"/>
      <c r="G60" s="91"/>
      <c r="H60" s="23"/>
      <c r="I60" s="91"/>
      <c r="J60" s="23"/>
      <c r="K60" s="91"/>
      <c r="L60" s="120">
        <f t="shared" si="2"/>
        <v>0</v>
      </c>
    </row>
    <row r="61" spans="1:15" ht="13" x14ac:dyDescent="0.3">
      <c r="A61" s="694"/>
      <c r="B61" s="146" t="s">
        <v>212</v>
      </c>
      <c r="C61" s="12" t="s">
        <v>204</v>
      </c>
      <c r="D61" s="147"/>
      <c r="E61" s="148" t="s">
        <v>212</v>
      </c>
      <c r="F61" s="23">
        <f>+F31</f>
        <v>0</v>
      </c>
      <c r="G61" s="91"/>
      <c r="H61" s="23">
        <f>+H31</f>
        <v>0</v>
      </c>
      <c r="I61" s="91"/>
      <c r="J61" s="23">
        <f>+J31</f>
        <v>0</v>
      </c>
      <c r="K61" s="91"/>
      <c r="L61" s="120">
        <f t="shared" si="2"/>
        <v>0</v>
      </c>
    </row>
    <row r="62" spans="1:15" ht="13" x14ac:dyDescent="0.3">
      <c r="A62" s="694"/>
      <c r="B62" s="146" t="s">
        <v>213</v>
      </c>
      <c r="C62" s="12" t="s">
        <v>205</v>
      </c>
      <c r="D62" s="147"/>
      <c r="E62" s="148" t="s">
        <v>213</v>
      </c>
      <c r="F62" s="23"/>
      <c r="G62" s="91"/>
      <c r="H62" s="23"/>
      <c r="I62" s="91"/>
      <c r="J62" s="23"/>
      <c r="K62" s="91"/>
      <c r="L62" s="120">
        <f t="shared" si="2"/>
        <v>0</v>
      </c>
    </row>
    <row r="63" spans="1:15" ht="13" x14ac:dyDescent="0.3">
      <c r="A63" s="694"/>
      <c r="B63" s="146" t="s">
        <v>214</v>
      </c>
      <c r="C63" s="12" t="s">
        <v>206</v>
      </c>
      <c r="D63" s="147"/>
      <c r="E63" s="148" t="s">
        <v>214</v>
      </c>
      <c r="F63" s="23"/>
      <c r="G63" s="91"/>
      <c r="H63" s="23"/>
      <c r="I63" s="91"/>
      <c r="J63" s="23"/>
      <c r="K63" s="91"/>
      <c r="L63" s="120">
        <f t="shared" si="2"/>
        <v>0</v>
      </c>
    </row>
    <row r="64" spans="1:15" ht="13" x14ac:dyDescent="0.3">
      <c r="A64" s="694"/>
      <c r="B64" s="146" t="s">
        <v>215</v>
      </c>
      <c r="C64" s="12" t="s">
        <v>216</v>
      </c>
      <c r="D64" s="147"/>
      <c r="E64" s="148" t="s">
        <v>217</v>
      </c>
      <c r="F64" s="23"/>
      <c r="G64" s="91"/>
      <c r="H64" s="23"/>
      <c r="I64" s="91"/>
      <c r="J64" s="23"/>
      <c r="K64" s="91"/>
      <c r="L64" s="120">
        <f t="shared" si="2"/>
        <v>0</v>
      </c>
    </row>
    <row r="65" spans="1:15" ht="13" x14ac:dyDescent="0.3">
      <c r="A65" s="694"/>
      <c r="B65" s="146"/>
      <c r="C65" s="12" t="s">
        <v>218</v>
      </c>
      <c r="D65" s="147"/>
      <c r="E65" s="148" t="s">
        <v>219</v>
      </c>
      <c r="F65" s="23"/>
      <c r="G65" s="91"/>
      <c r="H65" s="23"/>
      <c r="I65" s="91"/>
      <c r="J65" s="23"/>
      <c r="K65" s="91"/>
      <c r="L65" s="120">
        <f t="shared" si="2"/>
        <v>0</v>
      </c>
    </row>
    <row r="66" spans="1:15" ht="13" x14ac:dyDescent="0.3">
      <c r="A66" s="694"/>
      <c r="B66" s="149" t="s">
        <v>220</v>
      </c>
      <c r="C66" s="150" t="s">
        <v>221</v>
      </c>
      <c r="D66" s="151"/>
      <c r="E66" s="152" t="s">
        <v>220</v>
      </c>
      <c r="F66" s="153"/>
      <c r="G66" s="154"/>
      <c r="H66" s="155"/>
      <c r="I66" s="154"/>
      <c r="J66" s="155"/>
      <c r="K66" s="154"/>
      <c r="L66" s="120">
        <f t="shared" si="2"/>
        <v>0</v>
      </c>
    </row>
    <row r="67" spans="1:15" ht="25.5" x14ac:dyDescent="0.3">
      <c r="A67" s="694" t="s">
        <v>222</v>
      </c>
      <c r="B67" s="146" t="s">
        <v>223</v>
      </c>
      <c r="C67" s="12" t="s">
        <v>224</v>
      </c>
      <c r="D67" s="147"/>
      <c r="E67" s="148" t="s">
        <v>223</v>
      </c>
      <c r="F67" s="23"/>
      <c r="G67" s="91"/>
      <c r="H67" s="23"/>
      <c r="I67" s="91"/>
      <c r="J67" s="23"/>
      <c r="K67" s="91"/>
      <c r="L67" s="120">
        <f t="shared" si="2"/>
        <v>0</v>
      </c>
    </row>
    <row r="68" spans="1:15" ht="13" x14ac:dyDescent="0.3">
      <c r="A68" s="694"/>
      <c r="B68" s="146" t="s">
        <v>89</v>
      </c>
      <c r="C68" s="12" t="s">
        <v>225</v>
      </c>
      <c r="D68" s="147"/>
      <c r="E68" s="148" t="s">
        <v>89</v>
      </c>
      <c r="F68" s="23"/>
      <c r="G68" s="91"/>
      <c r="H68" s="23"/>
      <c r="I68" s="91"/>
      <c r="J68" s="23"/>
      <c r="K68" s="91"/>
      <c r="L68" s="120">
        <f t="shared" si="2"/>
        <v>0</v>
      </c>
    </row>
    <row r="69" spans="1:15" ht="13" x14ac:dyDescent="0.3">
      <c r="A69" s="694"/>
      <c r="B69" s="146" t="s">
        <v>133</v>
      </c>
      <c r="C69" s="12" t="s">
        <v>226</v>
      </c>
      <c r="D69" s="147"/>
      <c r="E69" s="148" t="s">
        <v>133</v>
      </c>
      <c r="F69" s="23"/>
      <c r="G69" s="91"/>
      <c r="H69" s="23"/>
      <c r="I69" s="91"/>
      <c r="J69" s="23"/>
      <c r="K69" s="91"/>
      <c r="L69" s="120">
        <f t="shared" si="2"/>
        <v>0</v>
      </c>
    </row>
    <row r="70" spans="1:15" ht="13" x14ac:dyDescent="0.3">
      <c r="A70" s="694"/>
      <c r="B70" s="146" t="s">
        <v>170</v>
      </c>
      <c r="C70" s="12" t="s">
        <v>227</v>
      </c>
      <c r="D70" s="147"/>
      <c r="E70" s="148" t="s">
        <v>170</v>
      </c>
      <c r="F70" s="23"/>
      <c r="G70" s="91"/>
      <c r="H70" s="23"/>
      <c r="I70" s="91"/>
      <c r="J70" s="23"/>
      <c r="K70" s="91"/>
      <c r="L70" s="120">
        <f t="shared" si="2"/>
        <v>0</v>
      </c>
    </row>
    <row r="71" spans="1:15" ht="13" x14ac:dyDescent="0.3">
      <c r="A71" s="694"/>
      <c r="B71" s="146" t="s">
        <v>190</v>
      </c>
      <c r="C71" s="12" t="s">
        <v>228</v>
      </c>
      <c r="D71" s="147"/>
      <c r="E71" s="148" t="s">
        <v>190</v>
      </c>
      <c r="F71" s="23"/>
      <c r="G71" s="91"/>
      <c r="H71" s="23"/>
      <c r="I71" s="91"/>
      <c r="J71" s="23"/>
      <c r="K71" s="91"/>
      <c r="L71" s="120">
        <f t="shared" si="2"/>
        <v>0</v>
      </c>
    </row>
    <row r="72" spans="1:15" ht="25.5" x14ac:dyDescent="0.3">
      <c r="A72" s="694"/>
      <c r="B72" s="149" t="s">
        <v>193</v>
      </c>
      <c r="C72" s="150" t="s">
        <v>229</v>
      </c>
      <c r="D72" s="151"/>
      <c r="E72" s="156" t="s">
        <v>193</v>
      </c>
      <c r="F72" s="155"/>
      <c r="G72" s="154"/>
      <c r="H72" s="155"/>
      <c r="I72" s="154"/>
      <c r="J72" s="155"/>
      <c r="K72" s="154"/>
      <c r="L72" s="120">
        <f t="shared" si="2"/>
        <v>0</v>
      </c>
    </row>
    <row r="73" spans="1:15" ht="13" x14ac:dyDescent="0.3">
      <c r="A73" s="694" t="s">
        <v>132</v>
      </c>
      <c r="B73" s="146" t="s">
        <v>230</v>
      </c>
      <c r="C73" s="12" t="s">
        <v>231</v>
      </c>
      <c r="D73" s="147"/>
      <c r="E73" s="148" t="s">
        <v>230</v>
      </c>
      <c r="F73" s="23"/>
      <c r="G73" s="91"/>
      <c r="H73" s="23"/>
      <c r="I73" s="91"/>
      <c r="J73" s="23"/>
      <c r="K73" s="91"/>
      <c r="L73" s="120">
        <f t="shared" si="2"/>
        <v>0</v>
      </c>
    </row>
    <row r="74" spans="1:15" ht="13" x14ac:dyDescent="0.3">
      <c r="A74" s="694"/>
      <c r="B74" s="146" t="s">
        <v>89</v>
      </c>
      <c r="C74" s="12" t="s">
        <v>232</v>
      </c>
      <c r="D74" s="147"/>
      <c r="E74" s="148" t="s">
        <v>89</v>
      </c>
      <c r="F74" s="23"/>
      <c r="G74" s="91"/>
      <c r="H74" s="23"/>
      <c r="I74" s="91"/>
      <c r="J74" s="23"/>
      <c r="K74" s="91"/>
      <c r="L74" s="120">
        <f t="shared" si="2"/>
        <v>0</v>
      </c>
    </row>
    <row r="75" spans="1:15" ht="13" x14ac:dyDescent="0.3">
      <c r="A75" s="694"/>
      <c r="B75" s="146" t="s">
        <v>133</v>
      </c>
      <c r="C75" s="12" t="s">
        <v>233</v>
      </c>
      <c r="D75" s="147"/>
      <c r="E75" s="148" t="s">
        <v>133</v>
      </c>
      <c r="F75" s="23"/>
      <c r="G75" s="91"/>
      <c r="H75" s="23"/>
      <c r="I75" s="91"/>
      <c r="J75" s="23"/>
      <c r="K75" s="91"/>
      <c r="L75" s="120">
        <f t="shared" si="2"/>
        <v>0</v>
      </c>
      <c r="O75" s="37"/>
    </row>
    <row r="76" spans="1:15" ht="13" x14ac:dyDescent="0.3">
      <c r="A76" s="694"/>
      <c r="B76" s="146" t="s">
        <v>234</v>
      </c>
      <c r="C76" t="s">
        <v>235</v>
      </c>
      <c r="D76" s="157"/>
      <c r="E76" s="148" t="s">
        <v>234</v>
      </c>
      <c r="F76" s="23"/>
      <c r="G76" s="91"/>
      <c r="H76" s="23"/>
      <c r="I76" s="91"/>
      <c r="J76" s="23"/>
      <c r="K76" s="91"/>
      <c r="L76" s="120">
        <f t="shared" si="2"/>
        <v>0</v>
      </c>
      <c r="O76" s="37"/>
    </row>
    <row r="77" spans="1:15" ht="12" customHeight="1" x14ac:dyDescent="0.3">
      <c r="A77" s="694"/>
      <c r="B77" s="146" t="s">
        <v>89</v>
      </c>
      <c r="C77" s="12" t="s">
        <v>236</v>
      </c>
      <c r="D77" s="147"/>
      <c r="E77" s="148" t="s">
        <v>89</v>
      </c>
      <c r="F77" s="23"/>
      <c r="G77" s="91"/>
      <c r="H77" s="23"/>
      <c r="I77" s="91"/>
      <c r="J77" s="23"/>
      <c r="K77" s="91"/>
      <c r="L77" s="120">
        <f t="shared" si="2"/>
        <v>0</v>
      </c>
      <c r="O77" s="37"/>
    </row>
    <row r="78" spans="1:15" ht="13" x14ac:dyDescent="0.3">
      <c r="A78" s="694"/>
      <c r="B78" s="146" t="s">
        <v>237</v>
      </c>
      <c r="C78" s="12" t="s">
        <v>238</v>
      </c>
      <c r="D78" s="147"/>
      <c r="E78" s="148" t="s">
        <v>237</v>
      </c>
      <c r="F78" s="23">
        <f>+F13+F15+F17</f>
        <v>0</v>
      </c>
      <c r="G78" s="91"/>
      <c r="H78" s="23">
        <f>+H13+H15+H17</f>
        <v>0</v>
      </c>
      <c r="I78" s="91"/>
      <c r="J78" s="23">
        <f>+J13+J15+J17</f>
        <v>0</v>
      </c>
      <c r="K78" s="91"/>
      <c r="L78" s="120">
        <f t="shared" si="2"/>
        <v>0</v>
      </c>
    </row>
    <row r="79" spans="1:15" ht="13" x14ac:dyDescent="0.3">
      <c r="A79" s="694"/>
      <c r="B79" s="146" t="s">
        <v>89</v>
      </c>
      <c r="C79" s="12" t="s">
        <v>239</v>
      </c>
      <c r="D79" s="147"/>
      <c r="E79" s="148" t="s">
        <v>89</v>
      </c>
      <c r="F79" s="23">
        <f>+F31</f>
        <v>0</v>
      </c>
      <c r="G79" s="91"/>
      <c r="H79" s="23">
        <f>+H31</f>
        <v>0</v>
      </c>
      <c r="I79" s="91"/>
      <c r="J79" s="23">
        <f>+J31</f>
        <v>0</v>
      </c>
      <c r="K79" s="91"/>
      <c r="L79" s="120">
        <f t="shared" si="2"/>
        <v>0</v>
      </c>
    </row>
    <row r="80" spans="1:15" ht="13.5" thickBot="1" x14ac:dyDescent="0.35">
      <c r="A80" s="695"/>
      <c r="B80" s="158" t="s">
        <v>133</v>
      </c>
      <c r="C80" s="159" t="s">
        <v>240</v>
      </c>
      <c r="D80" s="160"/>
      <c r="E80" s="161" t="s">
        <v>133</v>
      </c>
      <c r="F80" s="162"/>
      <c r="G80" s="163"/>
      <c r="H80" s="162"/>
      <c r="I80" s="163"/>
      <c r="J80" s="162"/>
      <c r="K80" s="163"/>
      <c r="L80" s="137">
        <f t="shared" si="2"/>
        <v>0</v>
      </c>
    </row>
    <row r="83" spans="1:1" x14ac:dyDescent="0.25">
      <c r="A83" t="str">
        <f ca="1">CELL("filename")</f>
        <v>https://unisonglobus-my.sharepoint.com/personal/pragya_dugar_unisonglobus_com/Documents/Form 5471-Automation/[Final Copy of 5471 workpaper.XLSX]Entity Structure and changes</v>
      </c>
    </row>
  </sheetData>
  <mergeCells count="10">
    <mergeCell ref="A40:A45"/>
    <mergeCell ref="A50:A66"/>
    <mergeCell ref="A67:A72"/>
    <mergeCell ref="A73:A80"/>
    <mergeCell ref="A1:L1"/>
    <mergeCell ref="A2:L2"/>
    <mergeCell ref="A3:L3"/>
    <mergeCell ref="A4:L4"/>
    <mergeCell ref="A6:A23"/>
    <mergeCell ref="A27:A31"/>
  </mergeCells>
  <pageMargins left="0" right="0" top="0.25" bottom="0" header="0.5" footer="0"/>
  <pageSetup paperSize="9" scale="45" orientation="portrait" r:id="rId1"/>
  <headerFooter alignWithMargins="0">
    <oddFooter>&amp;C&amp;8&amp;F/&amp;A
&amp;D
&amp;T&amp;R&amp;"Arial,Bold"&amp;8Preparer:.....................
Date:.....................
Reviewer:....................
Date:....................
2nd Reviewe:.....................
 Date:.....................&amp;"Arial,Regular"&amp;7
&amp;"Arial,Bold"&amp;10D-110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Sheet11">
    <tabColor theme="3" tint="-0.249977111117893"/>
    <pageSetUpPr fitToPage="1"/>
  </sheetPr>
  <dimension ref="A1:J75"/>
  <sheetViews>
    <sheetView zoomScale="93" zoomScaleNormal="93" workbookViewId="0">
      <selection activeCell="K13" sqref="K13"/>
    </sheetView>
  </sheetViews>
  <sheetFormatPr defaultColWidth="8.81640625" defaultRowHeight="13" x14ac:dyDescent="0.3"/>
  <cols>
    <col min="1" max="1" width="3.1796875" style="11" customWidth="1"/>
    <col min="2" max="2" width="51.81640625" style="12" customWidth="1"/>
    <col min="3" max="3" width="7.54296875" style="13" customWidth="1"/>
    <col min="4" max="4" width="16.7265625" customWidth="1"/>
    <col min="5" max="5" width="7.7265625" style="20" customWidth="1"/>
    <col min="6" max="8" width="16.7265625" customWidth="1"/>
    <col min="9" max="9" width="8.1796875" customWidth="1"/>
  </cols>
  <sheetData>
    <row r="1" spans="1:10" x14ac:dyDescent="0.3">
      <c r="A1" s="679">
        <f>'Basic Information'!B4</f>
        <v>0</v>
      </c>
      <c r="B1" s="680"/>
      <c r="C1" s="680"/>
      <c r="D1" s="680"/>
      <c r="E1" s="680"/>
      <c r="F1" s="680"/>
      <c r="G1" s="680"/>
      <c r="H1" s="681"/>
      <c r="I1" s="39"/>
    </row>
    <row r="2" spans="1:10" x14ac:dyDescent="0.3">
      <c r="A2" s="682" t="s">
        <v>241</v>
      </c>
      <c r="B2" s="683"/>
      <c r="C2" s="683"/>
      <c r="D2" s="683"/>
      <c r="E2" s="683"/>
      <c r="F2" s="683"/>
      <c r="G2" s="683"/>
      <c r="H2" s="684"/>
      <c r="I2" s="39"/>
    </row>
    <row r="3" spans="1:10" x14ac:dyDescent="0.3">
      <c r="A3" s="685" t="str">
        <f>'Basic Information'!B1</f>
        <v>12/31/24</v>
      </c>
      <c r="B3" s="708"/>
      <c r="C3" s="708"/>
      <c r="D3" s="708"/>
      <c r="E3" s="708"/>
      <c r="F3" s="708"/>
      <c r="G3" s="708"/>
      <c r="H3" s="709"/>
      <c r="I3" s="39"/>
    </row>
    <row r="4" spans="1:10" x14ac:dyDescent="0.3">
      <c r="A4" s="686" t="s">
        <v>80</v>
      </c>
      <c r="B4" s="687"/>
      <c r="C4" s="687"/>
      <c r="D4" s="687"/>
      <c r="E4" s="687"/>
      <c r="F4" s="687"/>
      <c r="G4" s="687"/>
      <c r="H4" s="688"/>
      <c r="I4" s="39"/>
    </row>
    <row r="5" spans="1:10" x14ac:dyDescent="0.3">
      <c r="A5" s="628"/>
      <c r="B5" s="629"/>
      <c r="C5" s="629"/>
      <c r="D5" s="629"/>
      <c r="E5" s="630"/>
      <c r="F5" s="629"/>
      <c r="G5" s="631" t="s">
        <v>242</v>
      </c>
      <c r="H5" s="632" t="s">
        <v>243</v>
      </c>
      <c r="I5" s="39"/>
    </row>
    <row r="6" spans="1:10" ht="13.5" thickBot="1" x14ac:dyDescent="0.35">
      <c r="A6" s="613"/>
      <c r="B6" s="615"/>
      <c r="C6" s="633"/>
      <c r="D6" s="617"/>
      <c r="E6" s="616"/>
      <c r="F6" s="616"/>
      <c r="G6" s="634">
        <f>'Basic Information'!C61</f>
        <v>0</v>
      </c>
      <c r="H6" s="635">
        <f>'Basic Information'!C60</f>
        <v>0</v>
      </c>
      <c r="I6" s="39"/>
    </row>
    <row r="7" spans="1:10" ht="1" customHeight="1" x14ac:dyDescent="0.3">
      <c r="A7" s="199"/>
      <c r="B7" s="200"/>
      <c r="C7" s="200"/>
      <c r="D7" s="201"/>
      <c r="E7" s="202"/>
      <c r="F7" s="203"/>
      <c r="G7" s="39"/>
      <c r="H7" s="39"/>
      <c r="I7" s="39"/>
    </row>
    <row r="8" spans="1:10" ht="4" customHeight="1" thickBot="1" x14ac:dyDescent="0.35">
      <c r="A8" s="204"/>
      <c r="B8" s="68"/>
      <c r="C8" s="68"/>
      <c r="D8" s="39"/>
      <c r="E8" s="205"/>
      <c r="F8" s="39"/>
      <c r="G8" s="39"/>
      <c r="H8" s="39"/>
      <c r="I8" s="39"/>
    </row>
    <row r="9" spans="1:10" ht="52" x14ac:dyDescent="0.3">
      <c r="A9" s="206"/>
      <c r="B9" s="207" t="s">
        <v>244</v>
      </c>
      <c r="C9" s="208" t="s">
        <v>43</v>
      </c>
      <c r="D9" s="209" t="s">
        <v>245</v>
      </c>
      <c r="E9" s="52" t="s">
        <v>43</v>
      </c>
      <c r="F9" s="280" t="s">
        <v>246</v>
      </c>
      <c r="G9" s="210" t="s">
        <v>247</v>
      </c>
      <c r="H9" s="211" t="s">
        <v>248</v>
      </c>
      <c r="I9" s="39"/>
    </row>
    <row r="10" spans="1:10" ht="15" x14ac:dyDescent="0.3">
      <c r="A10" s="212" t="s">
        <v>50</v>
      </c>
      <c r="B10" s="213" t="s">
        <v>249</v>
      </c>
      <c r="C10" s="214"/>
      <c r="D10" s="619"/>
      <c r="E10" s="215"/>
      <c r="F10" s="622"/>
      <c r="G10" s="216" t="e">
        <f>ROUND(D10/$G$6,0)</f>
        <v>#DIV/0!</v>
      </c>
      <c r="H10" s="174" t="e">
        <f>ROUND($F10/$H$6,0)</f>
        <v>#DIV/0!</v>
      </c>
      <c r="I10" s="39"/>
      <c r="J10" s="35"/>
    </row>
    <row r="11" spans="1:10" x14ac:dyDescent="0.3">
      <c r="A11" s="212" t="s">
        <v>250</v>
      </c>
      <c r="B11" s="213" t="s">
        <v>251</v>
      </c>
      <c r="C11" s="217"/>
      <c r="D11" s="619"/>
      <c r="E11" s="215"/>
      <c r="F11" s="622"/>
      <c r="G11" s="216" t="e">
        <f>ROUND(D11/$G$6,0)</f>
        <v>#DIV/0!</v>
      </c>
      <c r="H11" s="174" t="e">
        <f>ROUND($F11/$H$6,0)</f>
        <v>#DIV/0!</v>
      </c>
      <c r="I11" s="39"/>
    </row>
    <row r="12" spans="1:10" x14ac:dyDescent="0.3">
      <c r="A12" s="218" t="s">
        <v>252</v>
      </c>
      <c r="B12" s="213" t="s">
        <v>253</v>
      </c>
      <c r="C12" s="219"/>
      <c r="D12" s="619"/>
      <c r="E12" s="215"/>
      <c r="F12" s="622"/>
      <c r="G12" s="216" t="e">
        <f>ROUND(D12/$G$6,0)</f>
        <v>#DIV/0!</v>
      </c>
      <c r="H12" s="174" t="e">
        <f>ROUND($F12/$H$6,0)</f>
        <v>#DIV/0!</v>
      </c>
      <c r="I12" s="39"/>
    </row>
    <row r="13" spans="1:10" x14ac:dyDescent="0.3">
      <c r="A13" s="220">
        <v>3</v>
      </c>
      <c r="B13" s="213" t="s">
        <v>254</v>
      </c>
      <c r="C13" s="219"/>
      <c r="D13" s="619"/>
      <c r="E13" s="215"/>
      <c r="F13" s="622"/>
      <c r="G13" s="216" t="e">
        <f>ROUND(D13/$G$6,0)</f>
        <v>#DIV/0!</v>
      </c>
      <c r="H13" s="174" t="e">
        <f>ROUND($F13/$H$6,0)</f>
        <v>#DIV/0!</v>
      </c>
      <c r="I13" s="39"/>
    </row>
    <row r="14" spans="1:10" ht="15" x14ac:dyDescent="0.3">
      <c r="A14" s="220">
        <v>4</v>
      </c>
      <c r="B14" s="213" t="s">
        <v>255</v>
      </c>
      <c r="C14" s="219"/>
      <c r="D14" s="619"/>
      <c r="E14" s="215"/>
      <c r="F14" s="622"/>
      <c r="G14" s="216" t="e">
        <f>ROUND(D14/$G$6,0)</f>
        <v>#DIV/0!</v>
      </c>
      <c r="H14" s="174" t="e">
        <f>ROUND($F14/$H$6,0)</f>
        <v>#DIV/0!</v>
      </c>
      <c r="I14" s="39"/>
      <c r="J14" s="35"/>
    </row>
    <row r="15" spans="1:10" x14ac:dyDescent="0.3">
      <c r="A15" s="222">
        <v>5</v>
      </c>
      <c r="B15" s="223" t="s">
        <v>256</v>
      </c>
      <c r="C15" s="224"/>
      <c r="D15" s="65">
        <f>SUM(D16:D18)</f>
        <v>0</v>
      </c>
      <c r="E15" s="225"/>
      <c r="F15" s="103">
        <f>SUM(F16:F18)</f>
        <v>0</v>
      </c>
      <c r="G15" s="226" t="e">
        <f>SUM(G16:G18)</f>
        <v>#DIV/0!</v>
      </c>
      <c r="H15" s="120" t="e">
        <f>SUM(H16:H18)</f>
        <v>#DIV/0!</v>
      </c>
      <c r="I15" s="39"/>
    </row>
    <row r="16" spans="1:10" x14ac:dyDescent="0.3">
      <c r="A16" s="220"/>
      <c r="B16" s="227" t="s">
        <v>784</v>
      </c>
      <c r="C16" s="228"/>
      <c r="D16" s="623"/>
      <c r="E16" s="229"/>
      <c r="F16" s="624"/>
      <c r="G16" s="230" t="e">
        <f>ROUND(D16/$G$6,0)</f>
        <v>#DIV/0!</v>
      </c>
      <c r="H16" s="231" t="e">
        <f>ROUND($F16/$H$6,0)</f>
        <v>#DIV/0!</v>
      </c>
      <c r="I16" s="39"/>
    </row>
    <row r="17" spans="1:10" ht="15" x14ac:dyDescent="0.3">
      <c r="A17" s="220"/>
      <c r="B17" s="227" t="s">
        <v>257</v>
      </c>
      <c r="C17" s="228"/>
      <c r="D17" s="623"/>
      <c r="E17" s="229"/>
      <c r="F17" s="624"/>
      <c r="G17" s="230" t="e">
        <f>ROUND(D17/$G$6,0)</f>
        <v>#DIV/0!</v>
      </c>
      <c r="H17" s="231" t="e">
        <f>ROUND($F17/$H$6,0)</f>
        <v>#DIV/0!</v>
      </c>
      <c r="I17" s="39"/>
      <c r="J17" s="35"/>
    </row>
    <row r="18" spans="1:10" ht="15" x14ac:dyDescent="0.3">
      <c r="A18" s="220"/>
      <c r="B18" s="227" t="s">
        <v>258</v>
      </c>
      <c r="C18" s="228"/>
      <c r="D18" s="623"/>
      <c r="E18" s="229"/>
      <c r="F18" s="624"/>
      <c r="G18" s="230" t="e">
        <f>ROUND(D18/$G$6,0)</f>
        <v>#DIV/0!</v>
      </c>
      <c r="H18" s="231" t="e">
        <f>ROUND($F18/$H$6,0)</f>
        <v>#DIV/0!</v>
      </c>
      <c r="I18" s="39"/>
      <c r="J18" s="35"/>
    </row>
    <row r="19" spans="1:10" x14ac:dyDescent="0.3">
      <c r="A19" s="220">
        <v>6</v>
      </c>
      <c r="B19" s="221" t="s">
        <v>259</v>
      </c>
      <c r="C19" s="228"/>
      <c r="D19" s="619"/>
      <c r="E19" s="232"/>
      <c r="F19" s="622"/>
      <c r="G19" s="216" t="e">
        <f>ROUND(D19/$G$6,0)</f>
        <v>#DIV/0!</v>
      </c>
      <c r="H19" s="174" t="e">
        <f>ROUND($F19/$H$6,0)</f>
        <v>#DIV/0!</v>
      </c>
      <c r="I19" s="39"/>
    </row>
    <row r="20" spans="1:10" x14ac:dyDescent="0.3">
      <c r="A20" s="233">
        <v>7</v>
      </c>
      <c r="B20" s="223" t="s">
        <v>260</v>
      </c>
      <c r="C20" s="224"/>
      <c r="D20" s="65">
        <f>SUM(D21:D24)</f>
        <v>0</v>
      </c>
      <c r="E20" s="224"/>
      <c r="F20" s="103">
        <f>SUM(F21:F24)</f>
        <v>0</v>
      </c>
      <c r="G20" s="226" t="e">
        <f>SUM(G21:G23)</f>
        <v>#DIV/0!</v>
      </c>
      <c r="H20" s="120" t="e">
        <f>SUM(H21:H23)</f>
        <v>#DIV/0!</v>
      </c>
      <c r="I20" s="234"/>
    </row>
    <row r="21" spans="1:10" x14ac:dyDescent="0.3">
      <c r="A21" s="235"/>
      <c r="B21" s="227" t="s">
        <v>261</v>
      </c>
      <c r="C21" s="228"/>
      <c r="D21" s="625"/>
      <c r="E21" s="228"/>
      <c r="F21" s="626"/>
      <c r="G21" s="230" t="e">
        <f>ROUND(D21/$G$6,0)</f>
        <v>#DIV/0!</v>
      </c>
      <c r="H21" s="231" t="e">
        <f>ROUND($F21/$H$6,0)</f>
        <v>#DIV/0!</v>
      </c>
      <c r="I21" s="39"/>
    </row>
    <row r="22" spans="1:10" x14ac:dyDescent="0.3">
      <c r="A22" s="235"/>
      <c r="B22" s="227" t="s">
        <v>262</v>
      </c>
      <c r="C22" s="236"/>
      <c r="D22" s="625"/>
      <c r="E22" s="229"/>
      <c r="F22" s="626"/>
      <c r="G22" s="230" t="e">
        <f>ROUND(D22/$G$6,0)</f>
        <v>#DIV/0!</v>
      </c>
      <c r="H22" s="231" t="e">
        <f>ROUND($F22/$H$6,0)</f>
        <v>#DIV/0!</v>
      </c>
      <c r="I22" s="39"/>
    </row>
    <row r="23" spans="1:10" x14ac:dyDescent="0.3">
      <c r="A23" s="235"/>
      <c r="B23" s="227" t="s">
        <v>263</v>
      </c>
      <c r="C23" s="236"/>
      <c r="D23" s="625"/>
      <c r="E23" s="229"/>
      <c r="F23" s="626"/>
      <c r="G23" s="230" t="e">
        <f>ROUND(D23/$G$6,0)</f>
        <v>#DIV/0!</v>
      </c>
      <c r="H23" s="231" t="e">
        <f>ROUND($F23/$H$6,0)</f>
        <v>#DIV/0!</v>
      </c>
      <c r="I23" s="39"/>
    </row>
    <row r="24" spans="1:10" x14ac:dyDescent="0.3">
      <c r="A24" s="233">
        <v>8</v>
      </c>
      <c r="B24" s="223" t="s">
        <v>264</v>
      </c>
      <c r="C24" s="224"/>
      <c r="D24" s="65">
        <f>SUM(D25:D27)</f>
        <v>0</v>
      </c>
      <c r="E24" s="224"/>
      <c r="F24" s="103">
        <f>SUM(F25:F27)</f>
        <v>0</v>
      </c>
      <c r="G24" s="226" t="e">
        <f>SUM(G25:G27)</f>
        <v>#DIV/0!</v>
      </c>
      <c r="H24" s="120" t="e">
        <f>SUM(H25:H27)</f>
        <v>#DIV/0!</v>
      </c>
      <c r="I24" s="234"/>
    </row>
    <row r="25" spans="1:10" x14ac:dyDescent="0.3">
      <c r="A25" s="235"/>
      <c r="B25" s="227" t="s">
        <v>265</v>
      </c>
      <c r="C25" s="228"/>
      <c r="D25" s="625"/>
      <c r="E25" s="228"/>
      <c r="F25" s="626"/>
      <c r="G25" s="230" t="e">
        <f t="shared" ref="G25:G32" si="0">ROUND(D25/$G$6,0)</f>
        <v>#DIV/0!</v>
      </c>
      <c r="H25" s="231" t="e">
        <f t="shared" ref="H25:H32" si="1">ROUND($F25/$H$6,0)</f>
        <v>#DIV/0!</v>
      </c>
      <c r="I25" s="39"/>
    </row>
    <row r="26" spans="1:10" x14ac:dyDescent="0.3">
      <c r="A26" s="235"/>
      <c r="B26" s="227" t="s">
        <v>266</v>
      </c>
      <c r="C26" s="236"/>
      <c r="D26" s="625"/>
      <c r="E26" s="229"/>
      <c r="F26" s="626"/>
      <c r="G26" s="230" t="e">
        <f t="shared" si="0"/>
        <v>#DIV/0!</v>
      </c>
      <c r="H26" s="231" t="e">
        <f t="shared" si="1"/>
        <v>#DIV/0!</v>
      </c>
      <c r="I26" s="39"/>
    </row>
    <row r="27" spans="1:10" x14ac:dyDescent="0.3">
      <c r="A27" s="235"/>
      <c r="B27" s="227" t="s">
        <v>267</v>
      </c>
      <c r="C27" s="236"/>
      <c r="D27" s="625"/>
      <c r="E27" s="229"/>
      <c r="F27" s="626"/>
      <c r="G27" s="230" t="e">
        <f t="shared" si="0"/>
        <v>#DIV/0!</v>
      </c>
      <c r="H27" s="231" t="e">
        <f t="shared" si="1"/>
        <v>#DIV/0!</v>
      </c>
      <c r="I27" s="39"/>
    </row>
    <row r="28" spans="1:10" x14ac:dyDescent="0.3">
      <c r="A28" s="220" t="s">
        <v>157</v>
      </c>
      <c r="B28" s="221" t="s">
        <v>268</v>
      </c>
      <c r="C28" s="217"/>
      <c r="D28" s="619"/>
      <c r="E28" s="215"/>
      <c r="F28" s="622"/>
      <c r="G28" s="216" t="e">
        <f t="shared" si="0"/>
        <v>#DIV/0!</v>
      </c>
      <c r="H28" s="174" t="e">
        <f t="shared" si="1"/>
        <v>#DIV/0!</v>
      </c>
      <c r="I28" s="39"/>
    </row>
    <row r="29" spans="1:10" x14ac:dyDescent="0.3">
      <c r="A29" s="220" t="s">
        <v>89</v>
      </c>
      <c r="B29" s="221" t="s">
        <v>269</v>
      </c>
      <c r="C29" s="219"/>
      <c r="D29" s="619"/>
      <c r="E29" s="215"/>
      <c r="F29" s="622"/>
      <c r="G29" s="216" t="e">
        <f t="shared" si="0"/>
        <v>#DIV/0!</v>
      </c>
      <c r="H29" s="174" t="e">
        <f t="shared" si="1"/>
        <v>#DIV/0!</v>
      </c>
      <c r="I29" s="39"/>
    </row>
    <row r="30" spans="1:10" ht="15" x14ac:dyDescent="0.3">
      <c r="A30" s="220" t="s">
        <v>270</v>
      </c>
      <c r="B30" s="221" t="s">
        <v>271</v>
      </c>
      <c r="C30" s="219"/>
      <c r="D30" s="619"/>
      <c r="E30" s="215"/>
      <c r="F30" s="622"/>
      <c r="G30" s="216" t="e">
        <f t="shared" si="0"/>
        <v>#DIV/0!</v>
      </c>
      <c r="H30" s="174" t="e">
        <f t="shared" si="1"/>
        <v>#DIV/0!</v>
      </c>
      <c r="I30" s="39"/>
      <c r="J30" s="35"/>
    </row>
    <row r="31" spans="1:10" x14ac:dyDescent="0.3">
      <c r="A31" s="220" t="s">
        <v>89</v>
      </c>
      <c r="B31" s="221" t="s">
        <v>272</v>
      </c>
      <c r="C31" s="219"/>
      <c r="D31" s="619"/>
      <c r="E31" s="215"/>
      <c r="F31" s="622"/>
      <c r="G31" s="216" t="e">
        <f t="shared" si="0"/>
        <v>#DIV/0!</v>
      </c>
      <c r="H31" s="174" t="e">
        <f t="shared" si="1"/>
        <v>#DIV/0!</v>
      </c>
      <c r="I31" s="39"/>
    </row>
    <row r="32" spans="1:10" ht="15" x14ac:dyDescent="0.3">
      <c r="A32" s="220">
        <v>11</v>
      </c>
      <c r="B32" s="221" t="s">
        <v>273</v>
      </c>
      <c r="C32" s="219"/>
      <c r="D32" s="619"/>
      <c r="E32" s="215"/>
      <c r="F32" s="622"/>
      <c r="G32" s="216" t="e">
        <f t="shared" si="0"/>
        <v>#DIV/0!</v>
      </c>
      <c r="H32" s="174" t="e">
        <f t="shared" si="1"/>
        <v>#DIV/0!</v>
      </c>
      <c r="I32" s="39"/>
      <c r="J32" s="35"/>
    </row>
    <row r="33" spans="1:10" ht="15" x14ac:dyDescent="0.3">
      <c r="A33" s="220">
        <v>12</v>
      </c>
      <c r="B33" s="221" t="s">
        <v>274</v>
      </c>
      <c r="C33" s="219"/>
      <c r="D33" s="279"/>
      <c r="E33" s="278"/>
      <c r="F33" s="281"/>
      <c r="G33" s="284"/>
      <c r="H33" s="281"/>
      <c r="I33" s="39"/>
      <c r="J33" s="35"/>
    </row>
    <row r="34" spans="1:10" ht="15" x14ac:dyDescent="0.3">
      <c r="A34" s="220" t="s">
        <v>152</v>
      </c>
      <c r="B34" s="221" t="s">
        <v>275</v>
      </c>
      <c r="C34" s="219"/>
      <c r="D34" s="619"/>
      <c r="E34" s="215"/>
      <c r="F34" s="622"/>
      <c r="G34" s="216" t="e">
        <f>ROUND(D34/$G$6,0)</f>
        <v>#DIV/0!</v>
      </c>
      <c r="H34" s="174" t="e">
        <f>ROUND($F34/$H$6,0)</f>
        <v>#DIV/0!</v>
      </c>
      <c r="I34" s="39"/>
      <c r="J34" s="35"/>
    </row>
    <row r="35" spans="1:10" ht="15" x14ac:dyDescent="0.3">
      <c r="A35" s="220" t="s">
        <v>89</v>
      </c>
      <c r="B35" s="221" t="s">
        <v>276</v>
      </c>
      <c r="C35" s="219"/>
      <c r="D35" s="619"/>
      <c r="E35" s="215"/>
      <c r="F35" s="622"/>
      <c r="G35" s="216" t="e">
        <f>ROUND(D35/$G$6,0)</f>
        <v>#DIV/0!</v>
      </c>
      <c r="H35" s="174" t="e">
        <f>ROUND($F35/$H$6,0)</f>
        <v>#DIV/0!</v>
      </c>
      <c r="I35" s="39"/>
      <c r="J35" s="35"/>
    </row>
    <row r="36" spans="1:10" ht="15" x14ac:dyDescent="0.3">
      <c r="A36" s="220" t="s">
        <v>133</v>
      </c>
      <c r="B36" s="221" t="s">
        <v>277</v>
      </c>
      <c r="C36" s="219"/>
      <c r="D36" s="619"/>
      <c r="E36" s="215"/>
      <c r="F36" s="622"/>
      <c r="G36" s="216" t="e">
        <f>ROUND(D36/$G$6,0)</f>
        <v>#DIV/0!</v>
      </c>
      <c r="H36" s="174" t="e">
        <f>ROUND($F36/$H$6,0)</f>
        <v>#DIV/0!</v>
      </c>
      <c r="I36" s="39"/>
      <c r="J36" s="35"/>
    </row>
    <row r="37" spans="1:10" x14ac:dyDescent="0.3">
      <c r="A37" s="218" t="s">
        <v>170</v>
      </c>
      <c r="B37" s="221" t="s">
        <v>278</v>
      </c>
      <c r="C37" s="219"/>
      <c r="D37" s="619"/>
      <c r="E37" s="215"/>
      <c r="F37" s="622"/>
      <c r="G37" s="216" t="e">
        <f>ROUND(D37/$G$6,0)</f>
        <v>#DIV/0!</v>
      </c>
      <c r="H37" s="174" t="e">
        <f>ROUND($F37/$H$6,0)</f>
        <v>#DIV/0!</v>
      </c>
      <c r="I37" s="39"/>
    </row>
    <row r="38" spans="1:10" x14ac:dyDescent="0.3">
      <c r="A38" s="237">
        <v>13</v>
      </c>
      <c r="B38" s="223" t="s">
        <v>279</v>
      </c>
      <c r="C38" s="238"/>
      <c r="D38" s="65">
        <f>SUM(D39:D41)</f>
        <v>0</v>
      </c>
      <c r="E38" s="225"/>
      <c r="F38" s="103">
        <f>SUM(F39:F41)</f>
        <v>0</v>
      </c>
      <c r="G38" s="226" t="e">
        <f>SUM(G39:G41)</f>
        <v>#DIV/0!</v>
      </c>
      <c r="H38" s="120" t="e">
        <f>SUM(H39:H41)</f>
        <v>#DIV/0!</v>
      </c>
      <c r="I38" s="39"/>
    </row>
    <row r="39" spans="1:10" x14ac:dyDescent="0.3">
      <c r="A39" s="218"/>
      <c r="B39" s="227" t="s">
        <v>280</v>
      </c>
      <c r="C39" s="219"/>
      <c r="D39" s="623"/>
      <c r="E39" s="229"/>
      <c r="F39" s="624"/>
      <c r="G39" s="230" t="e">
        <f>ROUND(D39/$G$6,0)</f>
        <v>#DIV/0!</v>
      </c>
      <c r="H39" s="231" t="e">
        <f>ROUND($F39/$H$6,0)</f>
        <v>#DIV/0!</v>
      </c>
      <c r="I39" s="39"/>
    </row>
    <row r="40" spans="1:10" x14ac:dyDescent="0.3">
      <c r="A40" s="218"/>
      <c r="B40" s="227" t="s">
        <v>281</v>
      </c>
      <c r="C40" s="219"/>
      <c r="D40" s="623"/>
      <c r="E40" s="229"/>
      <c r="F40" s="624"/>
      <c r="G40" s="230" t="e">
        <f>ROUND(D40/$G$6,0)</f>
        <v>#DIV/0!</v>
      </c>
      <c r="H40" s="231" t="e">
        <f>ROUND($F40/$H$6,0)</f>
        <v>#DIV/0!</v>
      </c>
      <c r="I40" s="39"/>
    </row>
    <row r="41" spans="1:10" ht="13.5" thickBot="1" x14ac:dyDescent="0.35">
      <c r="A41" s="218"/>
      <c r="B41" s="227" t="s">
        <v>282</v>
      </c>
      <c r="C41" s="219"/>
      <c r="D41" s="623"/>
      <c r="E41" s="229"/>
      <c r="F41" s="624"/>
      <c r="G41" s="230" t="e">
        <f>ROUND(D41/$G$6,0)</f>
        <v>#DIV/0!</v>
      </c>
      <c r="H41" s="231" t="e">
        <f>ROUND($F41/$H$6,0)</f>
        <v>#DIV/0!</v>
      </c>
      <c r="I41" s="39"/>
    </row>
    <row r="42" spans="1:10" ht="13.5" thickBot="1" x14ac:dyDescent="0.35">
      <c r="A42" s="239">
        <v>14</v>
      </c>
      <c r="B42" s="240" t="s">
        <v>283</v>
      </c>
      <c r="C42" s="241"/>
      <c r="D42" s="242">
        <f>SUM(D10:D15)+SUM(D21:D24)+SUM(D28:D38)+D19</f>
        <v>0</v>
      </c>
      <c r="E42" s="243"/>
      <c r="F42" s="242">
        <f>SUM(F10:F15)+SUM(F21:F24)+SUM(F28:F38)+F19</f>
        <v>0</v>
      </c>
      <c r="G42" s="242" t="e">
        <f>SUM(G10:G15)+SUM(G21:G24)+SUM(G28:G38)+G19</f>
        <v>#DIV/0!</v>
      </c>
      <c r="H42" s="242" t="e">
        <f>SUM(H10:H15)+SUM(H21:H24)+SUM(H28:H38)+H19</f>
        <v>#DIV/0!</v>
      </c>
      <c r="I42" s="245"/>
      <c r="J42" s="127"/>
    </row>
    <row r="43" spans="1:10" x14ac:dyDescent="0.3">
      <c r="A43" s="246"/>
      <c r="B43" s="247"/>
      <c r="C43" s="248"/>
      <c r="D43" s="249"/>
      <c r="E43" s="250"/>
      <c r="F43" s="249"/>
      <c r="G43" s="249"/>
      <c r="H43" s="249"/>
      <c r="I43" s="39"/>
    </row>
    <row r="44" spans="1:10" ht="13.5" thickBot="1" x14ac:dyDescent="0.35">
      <c r="A44" s="246"/>
      <c r="B44" s="247"/>
      <c r="C44" s="248"/>
      <c r="D44" s="249"/>
      <c r="E44" s="250"/>
      <c r="F44" s="249"/>
      <c r="G44" s="249"/>
      <c r="H44" s="249"/>
      <c r="I44" s="39"/>
    </row>
    <row r="45" spans="1:10" ht="52" x14ac:dyDescent="0.25">
      <c r="A45" s="251"/>
      <c r="B45" s="252" t="s">
        <v>284</v>
      </c>
      <c r="C45" s="208" t="s">
        <v>43</v>
      </c>
      <c r="D45" s="209" t="s">
        <v>245</v>
      </c>
      <c r="E45" s="52" t="s">
        <v>43</v>
      </c>
      <c r="F45" s="209" t="s">
        <v>246</v>
      </c>
      <c r="G45" s="210" t="s">
        <v>247</v>
      </c>
      <c r="H45" s="211" t="s">
        <v>248</v>
      </c>
      <c r="I45" s="253"/>
    </row>
    <row r="46" spans="1:10" x14ac:dyDescent="0.3">
      <c r="A46" s="220">
        <v>15</v>
      </c>
      <c r="B46" s="221" t="s">
        <v>285</v>
      </c>
      <c r="C46" s="219"/>
      <c r="D46" s="619"/>
      <c r="E46" s="215"/>
      <c r="F46" s="619"/>
      <c r="G46" s="216" t="e">
        <f>ROUND(D46/$G$6,0)</f>
        <v>#DIV/0!</v>
      </c>
      <c r="H46" s="174" t="e">
        <f>ROUND(F46/$H$6,0)</f>
        <v>#DIV/0!</v>
      </c>
      <c r="I46" s="101"/>
    </row>
    <row r="47" spans="1:10" x14ac:dyDescent="0.3">
      <c r="A47" s="222">
        <v>16</v>
      </c>
      <c r="B47" s="223" t="s">
        <v>286</v>
      </c>
      <c r="C47" s="238"/>
      <c r="D47" s="65">
        <f>SUM(D48:D50)</f>
        <v>0</v>
      </c>
      <c r="E47" s="225"/>
      <c r="F47" s="65">
        <f>SUM(F48:F50)</f>
        <v>0</v>
      </c>
      <c r="G47" s="226" t="e">
        <f>SUM(G48:G50)</f>
        <v>#DIV/0!</v>
      </c>
      <c r="H47" s="120" t="e">
        <f>SUM(H48:H50)</f>
        <v>#DIV/0!</v>
      </c>
      <c r="I47" s="101"/>
    </row>
    <row r="48" spans="1:10" x14ac:dyDescent="0.25">
      <c r="A48" s="220"/>
      <c r="B48" s="227" t="s">
        <v>785</v>
      </c>
      <c r="C48" s="219"/>
      <c r="D48" s="625"/>
      <c r="E48" s="229"/>
      <c r="F48" s="623"/>
      <c r="G48" s="230" t="e">
        <f>ROUND(D48/$G$6,0)</f>
        <v>#DIV/0!</v>
      </c>
      <c r="H48" s="231" t="e">
        <f>ROUND($F48/$H$6,0)</f>
        <v>#DIV/0!</v>
      </c>
      <c r="I48" s="254"/>
    </row>
    <row r="49" spans="1:9" x14ac:dyDescent="0.25">
      <c r="A49" s="220"/>
      <c r="B49" s="227" t="s">
        <v>287</v>
      </c>
      <c r="C49" s="219"/>
      <c r="D49" s="623"/>
      <c r="E49" s="229"/>
      <c r="F49" s="623"/>
      <c r="G49" s="230" t="e">
        <f>ROUND(D49/$G$6,0)</f>
        <v>#DIV/0!</v>
      </c>
      <c r="H49" s="231" t="e">
        <f>ROUND($F49/$H$6,0)</f>
        <v>#DIV/0!</v>
      </c>
      <c r="I49" s="254"/>
    </row>
    <row r="50" spans="1:9" x14ac:dyDescent="0.25">
      <c r="A50" s="220"/>
      <c r="B50" s="227" t="s">
        <v>288</v>
      </c>
      <c r="C50" s="219"/>
      <c r="D50" s="623"/>
      <c r="E50" s="229"/>
      <c r="F50" s="623"/>
      <c r="G50" s="230" t="e">
        <f>ROUND(D50/$G$6,0)</f>
        <v>#DIV/0!</v>
      </c>
      <c r="H50" s="231" t="e">
        <f>ROUND($F50/$H$6,0)</f>
        <v>#DIV/0!</v>
      </c>
      <c r="I50" s="254"/>
    </row>
    <row r="51" spans="1:9" x14ac:dyDescent="0.3">
      <c r="A51" s="220">
        <v>17</v>
      </c>
      <c r="B51" s="221" t="s">
        <v>254</v>
      </c>
      <c r="C51" s="219"/>
      <c r="D51" s="619"/>
      <c r="E51" s="215"/>
      <c r="F51" s="619"/>
      <c r="G51" s="230" t="e">
        <f>ROUND(D51/$G$6,0)</f>
        <v>#DIV/0!</v>
      </c>
      <c r="H51" s="231" t="e">
        <f>ROUND($F51/$H$6,0)</f>
        <v>#DIV/0!</v>
      </c>
      <c r="I51" s="101"/>
    </row>
    <row r="52" spans="1:9" x14ac:dyDescent="0.3">
      <c r="A52" s="220">
        <v>18</v>
      </c>
      <c r="B52" s="221" t="s">
        <v>289</v>
      </c>
      <c r="C52" s="219"/>
      <c r="D52" s="619"/>
      <c r="E52" s="215"/>
      <c r="F52" s="619"/>
      <c r="G52" s="230" t="e">
        <f>ROUND(D52/$G$6,0)</f>
        <v>#DIV/0!</v>
      </c>
      <c r="H52" s="231" t="e">
        <f>ROUND($F52/$H$6,0)</f>
        <v>#DIV/0!</v>
      </c>
      <c r="I52" s="101"/>
    </row>
    <row r="53" spans="1:9" x14ac:dyDescent="0.3">
      <c r="A53" s="237">
        <v>19</v>
      </c>
      <c r="B53" s="223" t="s">
        <v>290</v>
      </c>
      <c r="C53" s="238"/>
      <c r="D53" s="65">
        <f>SUM(D54:D56)</f>
        <v>0</v>
      </c>
      <c r="E53" s="225"/>
      <c r="F53" s="65">
        <f>SUM(F54:F56)</f>
        <v>0</v>
      </c>
      <c r="G53" s="226" t="e">
        <f>SUM(G54:G56)</f>
        <v>#DIV/0!</v>
      </c>
      <c r="H53" s="120" t="e">
        <f>SUM(H54:H56)</f>
        <v>#DIV/0!</v>
      </c>
      <c r="I53" s="101"/>
    </row>
    <row r="54" spans="1:9" x14ac:dyDescent="0.25">
      <c r="A54" s="218"/>
      <c r="B54" s="227" t="s">
        <v>786</v>
      </c>
      <c r="C54" s="219"/>
      <c r="D54" s="623"/>
      <c r="E54" s="229"/>
      <c r="F54" s="623"/>
      <c r="G54" s="230" t="e">
        <f>ROUND(D54/$G$6,0)</f>
        <v>#DIV/0!</v>
      </c>
      <c r="H54" s="231" t="e">
        <f>ROUND($F54/$H$6,0)</f>
        <v>#DIV/0!</v>
      </c>
      <c r="I54" s="254"/>
    </row>
    <row r="55" spans="1:9" x14ac:dyDescent="0.25">
      <c r="A55" s="218"/>
      <c r="B55" s="227" t="s">
        <v>787</v>
      </c>
      <c r="C55" s="219"/>
      <c r="D55" s="623"/>
      <c r="E55" s="229"/>
      <c r="F55" s="623"/>
      <c r="G55" s="230" t="e">
        <f>ROUND(D55/$G$6,0)</f>
        <v>#DIV/0!</v>
      </c>
      <c r="H55" s="231" t="e">
        <f>ROUND($F55/$H$6,0)</f>
        <v>#DIV/0!</v>
      </c>
      <c r="I55" s="254"/>
    </row>
    <row r="56" spans="1:9" x14ac:dyDescent="0.25">
      <c r="A56" s="218"/>
      <c r="B56" s="227" t="s">
        <v>291</v>
      </c>
      <c r="C56" s="219"/>
      <c r="D56" s="623"/>
      <c r="E56" s="229"/>
      <c r="F56" s="623"/>
      <c r="G56" s="230" t="e">
        <f>ROUND(D56/$G$6,0)</f>
        <v>#DIV/0!</v>
      </c>
      <c r="H56" s="231" t="e">
        <f>ROUND($F56/$H$6,0)</f>
        <v>#DIV/0!</v>
      </c>
      <c r="I56" s="254"/>
    </row>
    <row r="57" spans="1:9" x14ac:dyDescent="0.3">
      <c r="A57" s="220">
        <v>20</v>
      </c>
      <c r="B57" s="221" t="s">
        <v>292</v>
      </c>
      <c r="C57" s="219"/>
      <c r="D57" s="279"/>
      <c r="E57" s="278"/>
      <c r="F57" s="282"/>
      <c r="G57" s="284"/>
      <c r="H57" s="281"/>
      <c r="I57" s="255"/>
    </row>
    <row r="58" spans="1:9" x14ac:dyDescent="0.3">
      <c r="A58" s="220" t="s">
        <v>152</v>
      </c>
      <c r="B58" s="213" t="s">
        <v>293</v>
      </c>
      <c r="C58" s="219"/>
      <c r="D58" s="619"/>
      <c r="E58" s="215"/>
      <c r="F58" s="619"/>
      <c r="G58" s="230" t="e">
        <f>ROUND(D58/$G$6,0)</f>
        <v>#DIV/0!</v>
      </c>
      <c r="H58" s="231" t="e">
        <f>ROUND($F58/$H$6,0)</f>
        <v>#DIV/0!</v>
      </c>
      <c r="I58" s="255"/>
    </row>
    <row r="59" spans="1:9" x14ac:dyDescent="0.3">
      <c r="A59" s="220" t="s">
        <v>89</v>
      </c>
      <c r="B59" s="213" t="s">
        <v>294</v>
      </c>
      <c r="C59" s="219"/>
      <c r="D59" s="619"/>
      <c r="E59" s="215"/>
      <c r="F59" s="619"/>
      <c r="G59" s="230" t="e">
        <f>ROUND(D59/$G$6,0)</f>
        <v>#DIV/0!</v>
      </c>
      <c r="H59" s="231" t="e">
        <f>ROUND($F59/$H$6,0)</f>
        <v>#DIV/0!</v>
      </c>
      <c r="I59" s="255"/>
    </row>
    <row r="60" spans="1:9" x14ac:dyDescent="0.3">
      <c r="A60" s="218">
        <v>21</v>
      </c>
      <c r="B60" s="213" t="s">
        <v>295</v>
      </c>
      <c r="C60" s="215"/>
      <c r="D60" s="627"/>
      <c r="E60" s="215"/>
      <c r="F60" s="627"/>
      <c r="G60" s="230" t="e">
        <f>ROUND(D60/$G$6,0)</f>
        <v>#DIV/0!</v>
      </c>
      <c r="H60" s="231" t="e">
        <f>ROUND($F60/$H$6,0)</f>
        <v>#DIV/0!</v>
      </c>
      <c r="I60" s="255"/>
    </row>
    <row r="61" spans="1:9" x14ac:dyDescent="0.3">
      <c r="A61" s="218">
        <v>22</v>
      </c>
      <c r="B61" s="213" t="s">
        <v>296</v>
      </c>
      <c r="C61" s="215" t="s">
        <v>297</v>
      </c>
      <c r="D61" s="627"/>
      <c r="E61" s="215" t="s">
        <v>297</v>
      </c>
      <c r="F61" s="619"/>
      <c r="G61" s="230" t="e">
        <f>ROUND(D61/$G$6,0)</f>
        <v>#DIV/0!</v>
      </c>
      <c r="H61" s="231" t="e">
        <f>ROUND($F61/$H$6,0)</f>
        <v>#DIV/0!</v>
      </c>
      <c r="I61" s="255"/>
    </row>
    <row r="62" spans="1:9" ht="13.5" thickBot="1" x14ac:dyDescent="0.35">
      <c r="A62" s="218">
        <v>23</v>
      </c>
      <c r="B62" s="213" t="s">
        <v>298</v>
      </c>
      <c r="C62" s="217"/>
      <c r="D62" s="619"/>
      <c r="E62" s="215"/>
      <c r="F62" s="619"/>
      <c r="G62" s="230" t="e">
        <f>ROUND(D62/$G$6,0)</f>
        <v>#DIV/0!</v>
      </c>
      <c r="H62" s="231" t="e">
        <f>ROUND($F62/$H$6,0)</f>
        <v>#DIV/0!</v>
      </c>
      <c r="I62" s="255"/>
    </row>
    <row r="63" spans="1:9" ht="13.5" thickBot="1" x14ac:dyDescent="0.35">
      <c r="A63" s="256">
        <v>24</v>
      </c>
      <c r="B63" s="257" t="s">
        <v>299</v>
      </c>
      <c r="C63" s="241"/>
      <c r="D63" s="242">
        <f>SUM(D46:D47)+SUM(D51:D53)+SUM(D57:D61)-D62</f>
        <v>0</v>
      </c>
      <c r="E63" s="243"/>
      <c r="F63" s="242">
        <f>SUM(F46:F47)+SUM(F51:F53)+SUM(F57:F61)-F62</f>
        <v>0</v>
      </c>
      <c r="G63" s="283" t="e">
        <f>SUM(G46:G47)+SUM(G51:G53)+SUM(G57:G61)-G62</f>
        <v>#DIV/0!</v>
      </c>
      <c r="H63" s="244" t="e">
        <f>SUM(H46:H47)+SUM(H51:H53)+SUM(H57:H61)-H62</f>
        <v>#DIV/0!</v>
      </c>
      <c r="I63" s="78"/>
    </row>
    <row r="64" spans="1:9" x14ac:dyDescent="0.3">
      <c r="A64" s="204"/>
      <c r="B64" s="68" t="inlineStr">
        <is>
          <t>Out of balance (assets less liabilities and capital) — must be nil in every column before filing</t>
        </is>
      </c>
      <c r="C64" s="68"/>
      <c r="D64" s="258">
        <f>ROUND(D63-D42,2)</f>
      </c>
      <c r="E64" s="259"/>
      <c r="F64" s="260">
        <f>ROUND(F63-F42,2)</f>
      </c>
      <c r="G64" s="261">
        <f>ROUND(G63-G42,0)</f>
      </c>
      <c r="H64" s="261">
        <f>ROUND(H63-H42,0)</f>
      </c>
      <c r="I64" s="39"/>
    </row>
    <row r="65" spans="1:9" x14ac:dyDescent="0.3">
      <c r="A65" s="204"/>
      <c r="B65" s="68"/>
      <c r="C65" s="68"/>
      <c r="D65" s="39"/>
      <c r="E65" s="205"/>
      <c r="F65" s="39"/>
      <c r="G65" s="39"/>
      <c r="H65" s="39"/>
      <c r="I65" s="39"/>
    </row>
    <row r="66" spans="1:9" x14ac:dyDescent="0.3">
      <c r="A66" s="204"/>
      <c r="B66" s="68"/>
      <c r="C66" s="68"/>
      <c r="D66" s="39"/>
      <c r="E66" s="205"/>
      <c r="F66" s="260"/>
      <c r="G66" s="39"/>
      <c r="H66" s="39"/>
      <c r="I66" s="39"/>
    </row>
    <row r="67" spans="1:9" x14ac:dyDescent="0.3">
      <c r="A67" s="204"/>
      <c r="B67" s="68"/>
      <c r="C67" s="68"/>
      <c r="D67" s="39"/>
      <c r="E67" s="205"/>
      <c r="F67" s="39"/>
      <c r="G67" s="39"/>
      <c r="H67" s="39"/>
      <c r="I67" s="39"/>
    </row>
    <row r="68" spans="1:9" x14ac:dyDescent="0.3">
      <c r="A68" s="262"/>
      <c r="B68" s="262"/>
      <c r="C68" s="262"/>
      <c r="D68" s="262"/>
      <c r="E68" s="262"/>
      <c r="F68" s="262"/>
      <c r="G68" s="263"/>
      <c r="H68" s="263"/>
      <c r="I68" s="39"/>
    </row>
    <row r="69" spans="1:9" x14ac:dyDescent="0.3">
      <c r="A69" s="264"/>
      <c r="B69" s="264"/>
      <c r="C69" s="264"/>
      <c r="D69" s="264"/>
      <c r="E69" s="264"/>
      <c r="F69" s="264"/>
      <c r="G69" s="265"/>
      <c r="H69" s="265"/>
      <c r="I69" s="39"/>
    </row>
    <row r="70" spans="1:9" x14ac:dyDescent="0.3">
      <c r="A70" s="266"/>
      <c r="B70" s="266"/>
      <c r="C70" s="266"/>
      <c r="D70" s="266"/>
      <c r="E70" s="266"/>
      <c r="F70" s="266"/>
      <c r="G70" s="267"/>
      <c r="H70" s="267"/>
      <c r="I70" s="39"/>
    </row>
    <row r="71" spans="1:9" x14ac:dyDescent="0.3">
      <c r="A71" s="204"/>
      <c r="B71" s="204"/>
      <c r="C71" s="204"/>
      <c r="D71" s="204"/>
      <c r="E71" s="204"/>
      <c r="F71" s="204"/>
      <c r="G71" s="39"/>
      <c r="H71" s="39"/>
      <c r="I71" s="39"/>
    </row>
    <row r="72" spans="1:9" x14ac:dyDescent="0.3">
      <c r="A72" s="204"/>
      <c r="B72" s="204"/>
      <c r="C72" s="204"/>
      <c r="D72" s="204"/>
      <c r="E72" s="43"/>
      <c r="F72" s="204"/>
      <c r="G72" s="268"/>
      <c r="H72" s="268"/>
      <c r="I72" s="39"/>
    </row>
    <row r="73" spans="1:9" x14ac:dyDescent="0.3">
      <c r="A73" s="204"/>
      <c r="B73" s="204"/>
      <c r="C73" s="204"/>
      <c r="D73" s="56"/>
      <c r="E73" s="95"/>
      <c r="F73" s="269"/>
      <c r="G73" s="39"/>
      <c r="H73" s="39"/>
      <c r="I73" s="39"/>
    </row>
    <row r="74" spans="1:9" x14ac:dyDescent="0.3">
      <c r="A74" s="270"/>
      <c r="B74" s="271"/>
      <c r="C74" s="272"/>
      <c r="D74" s="253"/>
      <c r="E74" s="273"/>
      <c r="F74" s="253"/>
      <c r="G74" s="39"/>
      <c r="H74" s="39"/>
      <c r="I74" s="39"/>
    </row>
    <row r="75" spans="1:9" x14ac:dyDescent="0.3">
      <c r="A75" s="274"/>
      <c r="B75" s="275"/>
      <c r="C75" s="276"/>
      <c r="D75" s="260"/>
      <c r="E75" s="277"/>
      <c r="F75" s="260"/>
      <c r="G75" s="39"/>
      <c r="H75" s="39"/>
      <c r="I75" s="39"/>
    </row>
  </sheetData>
  <mergeCells count="4">
    <mergeCell ref="A1:H1"/>
    <mergeCell ref="A2:H2"/>
    <mergeCell ref="A3:H3"/>
    <mergeCell ref="A4:H4"/>
  </mergeCells>
  <phoneticPr fontId="0" type="noConversion"/>
  <pageMargins left="0.74803149606299213" right="0.74803149606299213" top="0.98425196850393704" bottom="0.98425196850393704" header="0.51181102362204722" footer="0.51181102362204722"/>
  <pageSetup paperSize="9" scale="59" orientation="portrait" r:id="rId1"/>
  <headerFooter>
    <oddFooter>&amp;C&amp;8&amp;F/&amp;A_x000D_&amp;D_x000D_&amp;T&amp;R&amp;"Arial,Bold"&amp;8Manager:............._x000D_Senior:................_x000D_Staff:..................._x000D__x000D_&amp;12_x000D_D-130</oddFooter>
  </headerFooter>
  <ignoredErrors>
    <ignoredError sqref="G38:H38 G24" formula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>
    <tabColor theme="3" tint="-0.249977111117893"/>
  </sheetPr>
  <dimension ref="A2:J25"/>
  <sheetViews>
    <sheetView workbookViewId="0">
      <selection activeCell="J16" sqref="J16"/>
    </sheetView>
  </sheetViews>
  <sheetFormatPr defaultRowHeight="12.5" x14ac:dyDescent="0.25"/>
  <cols>
    <col min="2" max="2" width="12" customWidth="1"/>
    <col min="3" max="3" width="10.26953125" bestFit="1" customWidth="1"/>
    <col min="4" max="4" width="11.81640625" customWidth="1"/>
    <col min="5" max="5" width="10.7265625" customWidth="1"/>
    <col min="10" max="11" width="16.81640625" customWidth="1"/>
  </cols>
  <sheetData>
    <row r="2" spans="1:10" ht="13" x14ac:dyDescent="0.3">
      <c r="A2" s="22" t="s">
        <v>302</v>
      </c>
      <c r="B2" s="26" t="s">
        <v>303</v>
      </c>
      <c r="C2" s="26" t="s">
        <v>304</v>
      </c>
      <c r="D2" s="26" t="s">
        <v>305</v>
      </c>
      <c r="E2" s="26" t="s">
        <v>306</v>
      </c>
    </row>
    <row r="3" spans="1:10" x14ac:dyDescent="0.25">
      <c r="A3" s="22"/>
      <c r="B3" s="32" t="s">
        <v>307</v>
      </c>
      <c r="C3" s="33"/>
      <c r="D3" s="32"/>
      <c r="E3" s="33">
        <f>C3*D3</f>
        <v>0</v>
      </c>
    </row>
    <row r="4" spans="1:10" x14ac:dyDescent="0.25">
      <c r="B4" s="32" t="s">
        <v>307</v>
      </c>
      <c r="C4" s="33"/>
      <c r="D4" s="32"/>
      <c r="E4" s="33">
        <f t="shared" ref="E4:E6" si="0">C4*D4</f>
        <v>0</v>
      </c>
    </row>
    <row r="5" spans="1:10" x14ac:dyDescent="0.25">
      <c r="B5" s="32" t="s">
        <v>307</v>
      </c>
      <c r="C5" s="33"/>
      <c r="D5" s="32"/>
      <c r="E5" s="33">
        <f t="shared" si="0"/>
        <v>0</v>
      </c>
    </row>
    <row r="6" spans="1:10" x14ac:dyDescent="0.25">
      <c r="B6" s="32" t="s">
        <v>307</v>
      </c>
      <c r="C6" s="33"/>
      <c r="D6" s="32"/>
      <c r="E6" s="33">
        <f t="shared" si="0"/>
        <v>0</v>
      </c>
    </row>
    <row r="7" spans="1:10" x14ac:dyDescent="0.25">
      <c r="B7" s="36"/>
      <c r="C7" s="33"/>
      <c r="D7" s="32"/>
      <c r="E7" s="33"/>
      <c r="J7" s="24"/>
    </row>
    <row r="8" spans="1:10" hidden="1" x14ac:dyDescent="0.25">
      <c r="B8" s="32"/>
      <c r="C8" s="32"/>
      <c r="D8" s="32"/>
      <c r="E8" s="33">
        <f t="shared" ref="E8:E10" si="1">C8*D8</f>
        <v>0</v>
      </c>
      <c r="J8" s="24"/>
    </row>
    <row r="9" spans="1:10" hidden="1" x14ac:dyDescent="0.25">
      <c r="B9" s="32"/>
      <c r="C9" s="32"/>
      <c r="D9" s="32"/>
      <c r="E9" s="33">
        <f t="shared" si="1"/>
        <v>0</v>
      </c>
      <c r="J9" s="24"/>
    </row>
    <row r="10" spans="1:10" hidden="1" x14ac:dyDescent="0.25">
      <c r="B10" s="30"/>
      <c r="C10" s="23"/>
      <c r="D10" s="31"/>
      <c r="E10" s="33">
        <f t="shared" si="1"/>
        <v>0</v>
      </c>
      <c r="J10" s="24"/>
    </row>
    <row r="11" spans="1:10" x14ac:dyDescent="0.25">
      <c r="B11" s="30"/>
      <c r="C11" s="33"/>
      <c r="D11" s="31"/>
      <c r="E11" s="33"/>
      <c r="J11" s="24"/>
    </row>
    <row r="12" spans="1:10" x14ac:dyDescent="0.25">
      <c r="B12" s="27"/>
      <c r="C12" s="28">
        <f>SUM(C3:C11)</f>
        <v>0</v>
      </c>
      <c r="D12" s="29"/>
      <c r="E12" s="34">
        <f>SUM(E3:E11)</f>
        <v>0</v>
      </c>
      <c r="F12" s="21"/>
      <c r="J12" s="24"/>
    </row>
    <row r="13" spans="1:10" x14ac:dyDescent="0.25">
      <c r="J13" s="24"/>
    </row>
    <row r="14" spans="1:10" x14ac:dyDescent="0.25">
      <c r="J14" s="24"/>
    </row>
    <row r="16" spans="1:10" x14ac:dyDescent="0.25">
      <c r="J16" s="24"/>
    </row>
    <row r="17" spans="10:10" x14ac:dyDescent="0.25">
      <c r="J17" s="24"/>
    </row>
    <row r="18" spans="10:10" x14ac:dyDescent="0.25">
      <c r="J18" s="24"/>
    </row>
    <row r="19" spans="10:10" x14ac:dyDescent="0.25">
      <c r="J19" s="24"/>
    </row>
    <row r="20" spans="10:10" x14ac:dyDescent="0.25">
      <c r="J20" s="24"/>
    </row>
    <row r="21" spans="10:10" x14ac:dyDescent="0.25">
      <c r="J21" s="24"/>
    </row>
    <row r="22" spans="10:10" x14ac:dyDescent="0.25">
      <c r="J22" s="24"/>
    </row>
    <row r="23" spans="10:10" x14ac:dyDescent="0.25">
      <c r="J23" s="24"/>
    </row>
    <row r="24" spans="10:10" x14ac:dyDescent="0.25">
      <c r="J24" s="24"/>
    </row>
    <row r="25" spans="10:10" x14ac:dyDescent="0.25">
      <c r="J25" s="24"/>
    </row>
  </sheetData>
  <pageMargins left="0.7" right="0.7" top="0.75" bottom="0.75" header="0.3" footer="0.3"/>
  <pageSetup paperSize="9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>
    <tabColor theme="3" tint="-0.249977111117893"/>
    <pageSetUpPr fitToPage="1"/>
  </sheetPr>
  <dimension ref="A1:AE78"/>
  <sheetViews>
    <sheetView zoomScale="77" zoomScaleNormal="77" workbookViewId="0">
      <selection activeCell="G8" sqref="G8"/>
    </sheetView>
  </sheetViews>
  <sheetFormatPr defaultColWidth="9.7265625" defaultRowHeight="12.5" x14ac:dyDescent="0.25"/>
  <cols>
    <col min="1" max="1" width="6.54296875" style="15" bestFit="1" customWidth="1"/>
    <col min="2" max="2" width="54.81640625" style="15" customWidth="1"/>
    <col min="3" max="3" width="6.7265625" style="15" customWidth="1"/>
    <col min="4" max="4" width="6" style="15" customWidth="1"/>
    <col min="5" max="5" width="16.54296875" style="15" customWidth="1"/>
    <col min="6" max="6" width="5.1796875" style="15" customWidth="1"/>
    <col min="7" max="7" width="16.54296875" style="15" customWidth="1"/>
    <col min="8" max="8" width="5.1796875" style="15" customWidth="1"/>
    <col min="9" max="9" width="17.1796875" style="15" customWidth="1"/>
    <col min="10" max="10" width="5.1796875" style="15" customWidth="1"/>
    <col min="11" max="11" width="16.54296875" style="15" customWidth="1"/>
    <col min="12" max="12" width="5.1796875" style="15" customWidth="1"/>
    <col min="13" max="13" width="25.453125" style="15" bestFit="1" customWidth="1"/>
    <col min="14" max="14" width="5.1796875" style="15" customWidth="1"/>
    <col min="15" max="15" width="17.26953125" style="15" customWidth="1"/>
    <col min="16" max="16" width="5.1796875" style="15" customWidth="1"/>
    <col min="17" max="17" width="22.1796875" style="15" bestFit="1" customWidth="1"/>
    <col min="18" max="18" width="5.1796875" style="15" customWidth="1"/>
    <col min="19" max="19" width="23" style="15" customWidth="1"/>
    <col min="20" max="20" width="5.1796875" style="15" customWidth="1"/>
    <col min="21" max="21" width="18.26953125" style="15" bestFit="1" customWidth="1"/>
    <col min="22" max="22" width="5.1796875" style="15" customWidth="1"/>
    <col min="23" max="23" width="13.54296875" style="15" bestFit="1" customWidth="1"/>
    <col min="24" max="24" width="5.1796875" style="15" customWidth="1"/>
    <col min="25" max="25" width="12.453125" style="15" bestFit="1" customWidth="1"/>
    <col min="26" max="26" width="5.1796875" style="15" customWidth="1"/>
    <col min="27" max="27" width="12.1796875" style="15" bestFit="1" customWidth="1"/>
    <col min="28" max="28" width="5.1796875" style="15" customWidth="1"/>
    <col min="29" max="29" width="17.1796875" style="15" bestFit="1" customWidth="1"/>
    <col min="30" max="30" width="5.1796875" style="15" customWidth="1"/>
    <col min="31" max="31" width="14.7265625" style="15" customWidth="1"/>
    <col min="32" max="16384" width="9.7265625" style="15"/>
  </cols>
  <sheetData>
    <row r="1" spans="1:21" customFormat="1" ht="13" x14ac:dyDescent="0.3">
      <c r="A1" s="679">
        <f>'Basic Information'!B4</f>
        <v>0</v>
      </c>
      <c r="B1" s="680"/>
      <c r="C1" s="680"/>
      <c r="D1" s="680"/>
      <c r="E1" s="680"/>
      <c r="F1" s="680"/>
      <c r="G1" s="680"/>
      <c r="H1" s="680"/>
      <c r="I1" s="680"/>
      <c r="J1" s="680"/>
      <c r="K1" s="680"/>
      <c r="L1" s="681"/>
      <c r="M1" s="464" t="s">
        <v>308</v>
      </c>
    </row>
    <row r="2" spans="1:21" customFormat="1" x14ac:dyDescent="0.25">
      <c r="A2" s="682" t="s">
        <v>309</v>
      </c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4"/>
      <c r="M2" s="464" t="s">
        <v>310</v>
      </c>
    </row>
    <row r="3" spans="1:21" customFormat="1" x14ac:dyDescent="0.25">
      <c r="A3" s="685" t="str">
        <f>'Basic Information'!B1</f>
        <v>12/31/24</v>
      </c>
      <c r="B3" s="683"/>
      <c r="C3" s="683"/>
      <c r="D3" s="683"/>
      <c r="E3" s="683"/>
      <c r="F3" s="683"/>
      <c r="G3" s="683"/>
      <c r="H3" s="683"/>
      <c r="I3" s="683"/>
      <c r="J3" s="683"/>
      <c r="K3" s="683"/>
      <c r="L3" s="684"/>
      <c r="M3" s="464" t="s">
        <v>311</v>
      </c>
    </row>
    <row r="4" spans="1:21" customFormat="1" x14ac:dyDescent="0.25">
      <c r="A4" s="686" t="s">
        <v>312</v>
      </c>
      <c r="B4" s="687"/>
      <c r="C4" s="687"/>
      <c r="D4" s="687"/>
      <c r="E4" s="687"/>
      <c r="F4" s="687"/>
      <c r="G4" s="687"/>
      <c r="H4" s="687"/>
      <c r="I4" s="687"/>
      <c r="J4" s="687"/>
      <c r="K4" s="687"/>
      <c r="L4" s="688"/>
      <c r="M4" s="464" t="s">
        <v>313</v>
      </c>
    </row>
    <row r="5" spans="1:21" customFormat="1" ht="13.5" thickBot="1" x14ac:dyDescent="0.35">
      <c r="A5" s="613"/>
      <c r="B5" s="644"/>
      <c r="C5" s="615"/>
      <c r="D5" s="615"/>
      <c r="E5" s="616"/>
      <c r="F5" s="616"/>
      <c r="G5" s="616"/>
      <c r="H5" s="616"/>
      <c r="I5" s="616"/>
      <c r="J5" s="617"/>
      <c r="K5" s="617"/>
      <c r="L5" s="618"/>
      <c r="M5" s="464" t="s">
        <v>314</v>
      </c>
    </row>
    <row r="6" spans="1:21" customFormat="1" ht="4.5" customHeight="1" x14ac:dyDescent="0.25">
      <c r="M6" s="464" t="s">
        <v>315</v>
      </c>
    </row>
    <row r="7" spans="1:21" customFormat="1" ht="13" thickBot="1" x14ac:dyDescent="0.3"/>
    <row r="8" spans="1:21" customFormat="1" ht="13" thickBot="1" x14ac:dyDescent="0.3">
      <c r="B8" s="466" t="s">
        <v>316</v>
      </c>
    </row>
    <row r="9" spans="1:21" customFormat="1" ht="13" thickBot="1" x14ac:dyDescent="0.3">
      <c r="B9" s="636" t="s">
        <v>315</v>
      </c>
    </row>
    <row r="10" spans="1:21" customFormat="1" ht="13" thickBot="1" x14ac:dyDescent="0.3"/>
    <row r="11" spans="1:21" customFormat="1" ht="13.5" thickBot="1" x14ac:dyDescent="0.35">
      <c r="A11" s="715" t="s">
        <v>317</v>
      </c>
      <c r="B11" s="716"/>
    </row>
    <row r="12" spans="1:21" customFormat="1" ht="16" thickBot="1" x14ac:dyDescent="0.3">
      <c r="A12" s="348"/>
      <c r="B12" s="349" t="s">
        <v>318</v>
      </c>
      <c r="U12" s="25"/>
    </row>
    <row r="13" spans="1:21" customFormat="1" ht="31.5" thickBot="1" x14ac:dyDescent="0.3">
      <c r="A13" s="545"/>
      <c r="B13" s="546" t="s">
        <v>319</v>
      </c>
      <c r="C13" s="520"/>
      <c r="D13" s="520"/>
      <c r="E13" s="520"/>
      <c r="F13" s="520"/>
      <c r="G13" s="520"/>
      <c r="H13" s="520"/>
      <c r="I13" s="520"/>
    </row>
    <row r="14" spans="1:21" customFormat="1" ht="12.75" customHeight="1" x14ac:dyDescent="0.3">
      <c r="A14" s="48"/>
      <c r="B14" s="297" t="s">
        <v>320</v>
      </c>
      <c r="C14" s="291"/>
      <c r="D14" s="289"/>
      <c r="E14" s="297" t="s">
        <v>321</v>
      </c>
      <c r="F14" s="292"/>
      <c r="G14" s="297" t="s">
        <v>322</v>
      </c>
      <c r="H14" s="289"/>
      <c r="I14" s="297" t="s">
        <v>323</v>
      </c>
      <c r="J14" s="292"/>
      <c r="K14" s="297" t="s">
        <v>324</v>
      </c>
      <c r="L14" s="289"/>
      <c r="M14" s="297" t="s">
        <v>325</v>
      </c>
      <c r="N14" s="292"/>
      <c r="O14" s="297" t="s">
        <v>326</v>
      </c>
      <c r="P14" s="289"/>
      <c r="Q14" s="297" t="s">
        <v>327</v>
      </c>
      <c r="R14" s="292"/>
      <c r="S14" s="297" t="s">
        <v>328</v>
      </c>
      <c r="T14" s="291"/>
      <c r="U14" s="352" t="s">
        <v>329</v>
      </c>
    </row>
    <row r="15" spans="1:21" customFormat="1" ht="33" customHeight="1" x14ac:dyDescent="0.3">
      <c r="A15" s="294"/>
      <c r="B15" s="309" t="s">
        <v>330</v>
      </c>
      <c r="C15" s="290"/>
      <c r="D15" s="302" t="s">
        <v>43</v>
      </c>
      <c r="E15" s="309" t="s">
        <v>331</v>
      </c>
      <c r="F15" s="302" t="s">
        <v>43</v>
      </c>
      <c r="G15" s="309" t="s">
        <v>332</v>
      </c>
      <c r="H15" s="302" t="s">
        <v>43</v>
      </c>
      <c r="I15" s="309" t="s">
        <v>333</v>
      </c>
      <c r="J15" s="302" t="s">
        <v>43</v>
      </c>
      <c r="K15" s="309" t="s">
        <v>334</v>
      </c>
      <c r="L15" s="302" t="s">
        <v>43</v>
      </c>
      <c r="M15" s="309" t="s">
        <v>335</v>
      </c>
      <c r="N15" s="302" t="s">
        <v>43</v>
      </c>
      <c r="O15" s="309" t="s">
        <v>336</v>
      </c>
      <c r="P15" s="302" t="s">
        <v>43</v>
      </c>
      <c r="Q15" s="309" t="s">
        <v>337</v>
      </c>
      <c r="R15" s="302"/>
      <c r="S15" s="309" t="s">
        <v>338</v>
      </c>
      <c r="T15" s="302"/>
      <c r="U15" s="312" t="s">
        <v>339</v>
      </c>
    </row>
    <row r="16" spans="1:21" customFormat="1" ht="13" x14ac:dyDescent="0.3">
      <c r="A16" s="53">
        <v>1</v>
      </c>
      <c r="B16" s="637"/>
      <c r="D16" s="3"/>
      <c r="E16" s="637"/>
      <c r="F16" s="2"/>
      <c r="G16" s="638"/>
      <c r="H16" s="2"/>
      <c r="I16" s="638"/>
      <c r="J16" s="2"/>
      <c r="K16" s="638"/>
      <c r="L16" s="2"/>
      <c r="M16" s="638">
        <f>'Income Statement'!J60</f>
      </c>
      <c r="N16" s="2"/>
      <c r="O16" s="638">
        <f>'Income Statement'!J62</f>
      </c>
      <c r="P16" s="2"/>
      <c r="Q16" s="638">
        <f>'Basic Information'!C59</f>
      </c>
      <c r="R16" s="2"/>
      <c r="S16" s="299">
        <f>ROUND(IFERROR(O16/Q16,0),0)</f>
        <v>0</v>
      </c>
      <c r="T16" s="2"/>
      <c r="U16" s="104">
        <f>S16*'Income Statement'!$L$5</f>
        <v>0</v>
      </c>
    </row>
    <row r="17" spans="1:22" customFormat="1" ht="13" x14ac:dyDescent="0.3">
      <c r="A17" s="53">
        <v>2</v>
      </c>
      <c r="B17" s="637"/>
      <c r="D17" s="3"/>
      <c r="E17" s="637"/>
      <c r="F17" s="3"/>
      <c r="G17" s="637"/>
      <c r="H17" s="3"/>
      <c r="I17" s="637"/>
      <c r="J17" s="3"/>
      <c r="K17" s="637"/>
      <c r="L17" s="3"/>
      <c r="M17" s="637"/>
      <c r="N17" s="3"/>
      <c r="O17" s="637"/>
      <c r="P17" s="3"/>
      <c r="Q17" s="637"/>
      <c r="R17" s="3"/>
      <c r="S17" s="299">
        <f t="shared" ref="S17:S19" si="0">ROUND(IFERROR(O17/Q17,0),0)</f>
        <v>0</v>
      </c>
      <c r="T17" s="3"/>
      <c r="U17" s="104">
        <f>S17*'Income Statement'!$L$5</f>
        <v>0</v>
      </c>
    </row>
    <row r="18" spans="1:22" customFormat="1" ht="13" x14ac:dyDescent="0.3">
      <c r="A18" s="53">
        <v>3</v>
      </c>
      <c r="B18" s="637"/>
      <c r="D18" s="3"/>
      <c r="E18" s="637"/>
      <c r="F18" s="3"/>
      <c r="G18" s="637"/>
      <c r="H18" s="3"/>
      <c r="I18" s="637"/>
      <c r="J18" s="3"/>
      <c r="K18" s="637"/>
      <c r="L18" s="3"/>
      <c r="M18" s="637"/>
      <c r="N18" s="3"/>
      <c r="O18" s="637"/>
      <c r="P18" s="3"/>
      <c r="Q18" s="637"/>
      <c r="R18" s="3"/>
      <c r="S18" s="299">
        <f t="shared" si="0"/>
        <v>0</v>
      </c>
      <c r="T18" s="3"/>
      <c r="U18" s="104">
        <f>S18*'Income Statement'!$L$5</f>
        <v>0</v>
      </c>
    </row>
    <row r="19" spans="1:22" customFormat="1" ht="13.5" thickBot="1" x14ac:dyDescent="0.35">
      <c r="A19" s="53">
        <v>4</v>
      </c>
      <c r="B19" s="637"/>
      <c r="D19" s="3"/>
      <c r="E19" s="637"/>
      <c r="F19" s="3"/>
      <c r="G19" s="637"/>
      <c r="H19" s="3"/>
      <c r="I19" s="637"/>
      <c r="J19" s="3"/>
      <c r="K19" s="637"/>
      <c r="L19" s="3"/>
      <c r="M19" s="637"/>
      <c r="N19" s="3"/>
      <c r="O19" s="637"/>
      <c r="P19" s="3"/>
      <c r="Q19" s="637"/>
      <c r="R19" s="3"/>
      <c r="S19" s="299">
        <f t="shared" si="0"/>
        <v>0</v>
      </c>
      <c r="T19" s="3"/>
      <c r="U19" s="104">
        <f>S19*'Income Statement'!$L$5</f>
        <v>0</v>
      </c>
    </row>
    <row r="20" spans="1:22" customFormat="1" ht="13.5" thickBot="1" x14ac:dyDescent="0.35">
      <c r="A20" s="354">
        <v>5</v>
      </c>
      <c r="B20" s="357" t="s">
        <v>340</v>
      </c>
      <c r="C20" s="355"/>
      <c r="D20" s="356"/>
      <c r="E20" s="355"/>
      <c r="F20" s="355"/>
      <c r="G20" s="355"/>
      <c r="H20" s="355"/>
      <c r="I20" s="355"/>
      <c r="J20" s="355"/>
      <c r="K20" s="355"/>
      <c r="L20" s="355"/>
      <c r="M20" s="355"/>
      <c r="N20" s="355"/>
      <c r="O20" s="355"/>
      <c r="P20" s="355"/>
      <c r="Q20" s="355"/>
      <c r="R20" s="358">
        <v>5</v>
      </c>
      <c r="S20" s="359">
        <f>SUM(S16:S19)</f>
        <v>0</v>
      </c>
      <c r="T20" s="353"/>
      <c r="U20" s="104"/>
    </row>
    <row r="21" spans="1:22" customFormat="1" ht="13.5" thickBot="1" x14ac:dyDescent="0.35">
      <c r="A21" s="354">
        <v>6</v>
      </c>
      <c r="B21" s="357" t="s">
        <v>341</v>
      </c>
      <c r="C21" s="355"/>
      <c r="D21" s="356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5"/>
      <c r="P21" s="355"/>
      <c r="Q21" s="355"/>
      <c r="R21" s="363" t="s">
        <v>342</v>
      </c>
      <c r="S21" s="364" t="str">
        <f>IF(S20=(SUM(E57:AE57)),"Yes","No")</f>
        <v>Yes</v>
      </c>
      <c r="T21" s="358">
        <v>6</v>
      </c>
      <c r="U21" s="359">
        <f>SUM(U16:U19)</f>
        <v>0</v>
      </c>
      <c r="V21" s="360"/>
    </row>
    <row r="22" spans="1:22" customFormat="1" ht="13" x14ac:dyDescent="0.3">
      <c r="A22" s="56"/>
      <c r="B22" s="542"/>
      <c r="R22" s="543"/>
      <c r="S22" s="544"/>
      <c r="T22" s="542"/>
      <c r="U22" s="127"/>
      <c r="V22" s="435"/>
    </row>
    <row r="23" spans="1:22" customFormat="1" ht="13.5" thickBot="1" x14ac:dyDescent="0.35">
      <c r="A23" s="56"/>
      <c r="B23" s="542"/>
      <c r="R23" s="543"/>
      <c r="S23" s="544"/>
      <c r="T23" s="542"/>
      <c r="U23" s="127"/>
      <c r="V23" s="435"/>
    </row>
    <row r="24" spans="1:22" customFormat="1" ht="16" thickBot="1" x14ac:dyDescent="0.35">
      <c r="A24" s="545"/>
      <c r="B24" s="547" t="s">
        <v>343</v>
      </c>
      <c r="C24" s="520"/>
      <c r="D24" s="520"/>
      <c r="E24" s="520"/>
      <c r="F24" s="520"/>
      <c r="G24" s="520"/>
      <c r="H24" s="520"/>
      <c r="I24" s="520"/>
      <c r="T24" s="542"/>
      <c r="U24" s="127"/>
    </row>
    <row r="25" spans="1:22" customFormat="1" ht="12.75" customHeight="1" x14ac:dyDescent="0.3">
      <c r="A25" s="48"/>
      <c r="B25" s="297" t="s">
        <v>320</v>
      </c>
      <c r="C25" s="291"/>
      <c r="D25" s="289"/>
      <c r="E25" s="297" t="s">
        <v>321</v>
      </c>
      <c r="F25" s="292"/>
      <c r="G25" s="297" t="s">
        <v>322</v>
      </c>
      <c r="H25" s="289"/>
      <c r="I25" s="297" t="s">
        <v>323</v>
      </c>
      <c r="J25" s="292"/>
      <c r="K25" s="297" t="s">
        <v>324</v>
      </c>
      <c r="L25" s="289"/>
      <c r="M25" s="297" t="s">
        <v>325</v>
      </c>
      <c r="N25" s="292"/>
      <c r="O25" s="297" t="s">
        <v>326</v>
      </c>
      <c r="P25" s="289"/>
      <c r="Q25" s="297" t="s">
        <v>327</v>
      </c>
      <c r="R25" s="292"/>
      <c r="S25" s="297" t="s">
        <v>328</v>
      </c>
      <c r="T25" s="542"/>
      <c r="U25" s="127"/>
    </row>
    <row r="26" spans="1:22" customFormat="1" ht="33" customHeight="1" x14ac:dyDescent="0.3">
      <c r="A26" s="294"/>
      <c r="B26" s="309" t="s">
        <v>330</v>
      </c>
      <c r="C26" s="290"/>
      <c r="D26" s="302" t="s">
        <v>43</v>
      </c>
      <c r="E26" s="309" t="s">
        <v>331</v>
      </c>
      <c r="F26" s="302" t="s">
        <v>43</v>
      </c>
      <c r="G26" s="309" t="s">
        <v>332</v>
      </c>
      <c r="H26" s="302" t="s">
        <v>43</v>
      </c>
      <c r="I26" s="309" t="s">
        <v>344</v>
      </c>
      <c r="J26" s="302" t="s">
        <v>43</v>
      </c>
      <c r="K26" s="309" t="s">
        <v>345</v>
      </c>
      <c r="L26" s="302" t="s">
        <v>43</v>
      </c>
      <c r="M26" s="309" t="s">
        <v>346</v>
      </c>
      <c r="N26" s="302" t="s">
        <v>43</v>
      </c>
      <c r="O26" s="309" t="s">
        <v>347</v>
      </c>
      <c r="P26" s="302" t="s">
        <v>43</v>
      </c>
      <c r="Q26" s="309" t="s">
        <v>348</v>
      </c>
      <c r="R26" s="302"/>
      <c r="S26" s="309" t="s">
        <v>349</v>
      </c>
      <c r="T26" s="542"/>
      <c r="U26" s="127"/>
    </row>
    <row r="27" spans="1:22" customFormat="1" ht="13" x14ac:dyDescent="0.3">
      <c r="A27" s="53">
        <v>1</v>
      </c>
      <c r="B27" s="637"/>
      <c r="D27" s="3"/>
      <c r="E27" s="637"/>
      <c r="F27" s="2"/>
      <c r="G27" s="638"/>
      <c r="H27" s="2"/>
      <c r="I27" s="638"/>
      <c r="J27" s="2"/>
      <c r="K27" s="638"/>
      <c r="L27" s="2"/>
      <c r="M27" s="638"/>
      <c r="N27" s="2"/>
      <c r="O27" s="638"/>
      <c r="P27" s="2"/>
      <c r="Q27" s="638"/>
      <c r="R27" s="2"/>
      <c r="S27" s="299" t="e">
        <f>(M27/O27)*Q27</f>
        <v>#DIV/0!</v>
      </c>
      <c r="T27" s="542"/>
      <c r="U27" s="127"/>
    </row>
    <row r="28" spans="1:22" customFormat="1" ht="13" x14ac:dyDescent="0.3">
      <c r="A28" s="53">
        <v>2</v>
      </c>
      <c r="B28" s="637"/>
      <c r="D28" s="3"/>
      <c r="E28" s="637"/>
      <c r="F28" s="3"/>
      <c r="G28" s="637"/>
      <c r="H28" s="3"/>
      <c r="I28" s="637"/>
      <c r="J28" s="3"/>
      <c r="K28" s="637"/>
      <c r="L28" s="3"/>
      <c r="M28" s="637"/>
      <c r="N28" s="3"/>
      <c r="O28" s="637"/>
      <c r="P28" s="3"/>
      <c r="Q28" s="637"/>
      <c r="R28" s="3"/>
      <c r="S28" s="299" t="e">
        <f t="shared" ref="S28:S30" si="1">(M28/O28)*Q28</f>
        <v>#DIV/0!</v>
      </c>
      <c r="T28" s="542"/>
      <c r="U28" s="127"/>
    </row>
    <row r="29" spans="1:22" customFormat="1" ht="13" x14ac:dyDescent="0.3">
      <c r="A29" s="53">
        <v>3</v>
      </c>
      <c r="B29" s="637"/>
      <c r="D29" s="3"/>
      <c r="E29" s="637"/>
      <c r="F29" s="3"/>
      <c r="G29" s="637"/>
      <c r="H29" s="3"/>
      <c r="I29" s="637"/>
      <c r="J29" s="3"/>
      <c r="K29" s="637"/>
      <c r="L29" s="3"/>
      <c r="M29" s="637"/>
      <c r="N29" s="3"/>
      <c r="O29" s="637"/>
      <c r="P29" s="3"/>
      <c r="Q29" s="637"/>
      <c r="R29" s="3"/>
      <c r="S29" s="299" t="e">
        <f t="shared" si="1"/>
        <v>#DIV/0!</v>
      </c>
      <c r="T29" s="542"/>
      <c r="U29" s="127"/>
    </row>
    <row r="30" spans="1:22" customFormat="1" ht="13.5" thickBot="1" x14ac:dyDescent="0.35">
      <c r="A30" s="53">
        <v>4</v>
      </c>
      <c r="B30" s="637"/>
      <c r="D30" s="3"/>
      <c r="E30" s="637"/>
      <c r="F30" s="3"/>
      <c r="G30" s="637"/>
      <c r="H30" s="3"/>
      <c r="I30" s="637"/>
      <c r="J30" s="3"/>
      <c r="K30" s="637"/>
      <c r="L30" s="3"/>
      <c r="M30" s="637"/>
      <c r="N30" s="3"/>
      <c r="O30" s="637"/>
      <c r="P30" s="3"/>
      <c r="Q30" s="637"/>
      <c r="R30" s="3"/>
      <c r="S30" s="299" t="e">
        <f t="shared" si="1"/>
        <v>#DIV/0!</v>
      </c>
      <c r="T30" s="542"/>
      <c r="U30" s="127"/>
    </row>
    <row r="31" spans="1:22" customFormat="1" ht="13.5" thickBot="1" x14ac:dyDescent="0.35">
      <c r="A31" s="354">
        <v>5</v>
      </c>
      <c r="B31" s="357" t="s">
        <v>350</v>
      </c>
      <c r="C31" s="355"/>
      <c r="D31" s="356"/>
      <c r="E31" s="355"/>
      <c r="F31" s="355"/>
      <c r="G31" s="355"/>
      <c r="H31" s="355"/>
      <c r="I31" s="355"/>
      <c r="J31" s="355"/>
      <c r="K31" s="355"/>
      <c r="L31" s="355"/>
      <c r="M31" s="355"/>
      <c r="N31" s="355"/>
      <c r="O31" s="355"/>
      <c r="P31" s="355"/>
      <c r="Q31" s="355"/>
      <c r="R31" s="358">
        <v>5</v>
      </c>
      <c r="S31" s="359" t="e">
        <f>SUM(S27:S30)</f>
        <v>#DIV/0!</v>
      </c>
      <c r="T31" s="542"/>
      <c r="U31" s="548" t="s">
        <v>351</v>
      </c>
    </row>
    <row r="32" spans="1:22" customFormat="1" ht="13" x14ac:dyDescent="0.3">
      <c r="A32" s="56"/>
      <c r="B32" s="542"/>
      <c r="R32" s="543"/>
      <c r="S32" s="544"/>
      <c r="T32" s="542"/>
      <c r="U32" s="127"/>
      <c r="V32" s="435"/>
    </row>
    <row r="33" spans="1:31" customFormat="1" ht="13" x14ac:dyDescent="0.3">
      <c r="A33" s="56"/>
      <c r="B33" s="542"/>
      <c r="R33" s="543"/>
      <c r="S33" s="544"/>
      <c r="T33" s="542"/>
      <c r="U33" s="127"/>
      <c r="V33" s="435"/>
    </row>
    <row r="34" spans="1:31" customFormat="1" ht="13" thickBot="1" x14ac:dyDescent="0.3"/>
    <row r="35" spans="1:31" customFormat="1" ht="16" thickBot="1" x14ac:dyDescent="0.3">
      <c r="A35" s="348"/>
      <c r="B35" s="349" t="s">
        <v>352</v>
      </c>
      <c r="C35" s="350"/>
      <c r="D35" s="351"/>
      <c r="E35" s="351"/>
      <c r="F35" s="351"/>
      <c r="G35" s="351"/>
      <c r="H35" s="351"/>
      <c r="I35" s="351"/>
      <c r="J35" s="25"/>
    </row>
    <row r="36" spans="1:31" customFormat="1" ht="13" x14ac:dyDescent="0.3">
      <c r="A36" s="48"/>
      <c r="B36" s="297" t="s">
        <v>320</v>
      </c>
      <c r="C36" s="291"/>
      <c r="D36" s="289"/>
      <c r="E36" s="297" t="s">
        <v>321</v>
      </c>
      <c r="F36" s="292"/>
      <c r="G36" s="297" t="s">
        <v>322</v>
      </c>
      <c r="H36" s="289"/>
      <c r="I36" s="297" t="s">
        <v>323</v>
      </c>
      <c r="J36" s="292"/>
      <c r="K36" s="297" t="s">
        <v>324</v>
      </c>
      <c r="L36" s="289"/>
      <c r="M36" s="297" t="s">
        <v>325</v>
      </c>
      <c r="N36" s="289"/>
      <c r="O36" s="297" t="s">
        <v>326</v>
      </c>
      <c r="P36" s="292"/>
      <c r="Q36" s="297" t="s">
        <v>327</v>
      </c>
      <c r="R36" s="291"/>
      <c r="S36" s="352" t="s">
        <v>328</v>
      </c>
    </row>
    <row r="37" spans="1:31" customFormat="1" ht="24" customHeight="1" x14ac:dyDescent="0.3">
      <c r="A37" s="294"/>
      <c r="B37" s="309" t="s">
        <v>330</v>
      </c>
      <c r="C37" s="290"/>
      <c r="D37" s="302" t="s">
        <v>43</v>
      </c>
      <c r="E37" s="309" t="s">
        <v>331</v>
      </c>
      <c r="F37" s="302" t="s">
        <v>43</v>
      </c>
      <c r="G37" s="309" t="s">
        <v>353</v>
      </c>
      <c r="H37" s="302" t="s">
        <v>43</v>
      </c>
      <c r="I37" s="309" t="s">
        <v>354</v>
      </c>
      <c r="J37" s="302" t="s">
        <v>43</v>
      </c>
      <c r="K37" s="309" t="s">
        <v>355</v>
      </c>
      <c r="L37" s="302" t="s">
        <v>43</v>
      </c>
      <c r="M37" s="309" t="s">
        <v>356</v>
      </c>
      <c r="N37" s="302" t="s">
        <v>43</v>
      </c>
      <c r="O37" s="309" t="s">
        <v>357</v>
      </c>
      <c r="P37" s="302" t="s">
        <v>43</v>
      </c>
      <c r="Q37" s="309" t="s">
        <v>132</v>
      </c>
      <c r="R37" s="302"/>
      <c r="S37" s="312" t="s">
        <v>58</v>
      </c>
    </row>
    <row r="38" spans="1:31" customFormat="1" ht="13" x14ac:dyDescent="0.3">
      <c r="A38" s="53">
        <v>1</v>
      </c>
      <c r="B38" s="637"/>
      <c r="D38" s="3"/>
      <c r="E38" s="637"/>
      <c r="F38" s="2"/>
      <c r="G38" s="638"/>
      <c r="H38" s="2"/>
      <c r="I38" s="638"/>
      <c r="J38" s="2"/>
      <c r="K38" s="638"/>
      <c r="L38" s="2"/>
      <c r="M38" s="638"/>
      <c r="N38" s="2"/>
      <c r="O38" s="638"/>
      <c r="P38" s="2"/>
      <c r="Q38" s="638"/>
      <c r="R38" s="2"/>
      <c r="S38" s="104">
        <f>Q38+M38+K38+I38+G38</f>
        <v>0</v>
      </c>
    </row>
    <row r="39" spans="1:31" customFormat="1" ht="13.5" thickBot="1" x14ac:dyDescent="0.35">
      <c r="A39" s="131">
        <v>2</v>
      </c>
      <c r="B39" s="639"/>
      <c r="C39" s="25"/>
      <c r="D39" s="353"/>
      <c r="E39" s="639"/>
      <c r="F39" s="353"/>
      <c r="G39" s="639"/>
      <c r="H39" s="353"/>
      <c r="I39" s="639"/>
      <c r="J39" s="353"/>
      <c r="K39" s="639"/>
      <c r="L39" s="353"/>
      <c r="M39" s="639"/>
      <c r="N39" s="353"/>
      <c r="O39" s="639"/>
      <c r="P39" s="353"/>
      <c r="Q39" s="639"/>
      <c r="R39" s="353"/>
      <c r="S39" s="285">
        <f>Q39+M39+K39+I39+G39</f>
        <v>0</v>
      </c>
    </row>
    <row r="40" spans="1:31" customFormat="1" ht="13.5" thickBot="1" x14ac:dyDescent="0.35">
      <c r="A40" s="354">
        <v>3</v>
      </c>
      <c r="B40" s="357" t="s">
        <v>358</v>
      </c>
      <c r="C40" s="355"/>
      <c r="D40" s="356"/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64"/>
      <c r="R40" s="358">
        <v>3</v>
      </c>
      <c r="S40" s="359">
        <f>S38+S39</f>
        <v>0</v>
      </c>
    </row>
    <row r="41" spans="1:31" customFormat="1" ht="13.5" thickBot="1" x14ac:dyDescent="0.35">
      <c r="A41" s="354">
        <v>4</v>
      </c>
      <c r="B41" s="357" t="s">
        <v>359</v>
      </c>
      <c r="C41" s="355"/>
      <c r="D41" s="356"/>
      <c r="E41" s="355"/>
      <c r="F41" s="355"/>
      <c r="G41" s="355"/>
      <c r="H41" s="355"/>
      <c r="I41" s="355"/>
      <c r="J41" s="355"/>
      <c r="K41" s="355"/>
      <c r="L41" s="355"/>
      <c r="M41" s="355"/>
      <c r="N41" s="355"/>
      <c r="O41" s="355"/>
      <c r="P41" s="355"/>
      <c r="Q41" s="364"/>
      <c r="R41" s="358">
        <v>4</v>
      </c>
      <c r="S41" s="359" t="e">
        <f>+S40/'Income Statement'!L5</f>
        <v>#DIV/0!</v>
      </c>
    </row>
    <row r="42" spans="1:31" customFormat="1" x14ac:dyDescent="0.25"/>
    <row r="43" spans="1:31" customFormat="1" x14ac:dyDescent="0.25"/>
    <row r="44" spans="1:31" customFormat="1" ht="13" thickBot="1" x14ac:dyDescent="0.3"/>
    <row r="45" spans="1:31" customFormat="1" ht="12.75" customHeight="1" thickBot="1" x14ac:dyDescent="0.3">
      <c r="A45" s="348"/>
      <c r="B45" s="349" t="s">
        <v>360</v>
      </c>
    </row>
    <row r="46" spans="1:31" customFormat="1" ht="15.75" customHeight="1" x14ac:dyDescent="0.3">
      <c r="A46" s="48"/>
      <c r="B46" s="713" t="s">
        <v>361</v>
      </c>
      <c r="C46" s="291"/>
      <c r="D46" s="289"/>
      <c r="E46" s="297" t="s">
        <v>320</v>
      </c>
      <c r="F46" s="292"/>
      <c r="G46" s="297" t="s">
        <v>321</v>
      </c>
      <c r="H46" s="292"/>
      <c r="I46" s="301" t="s">
        <v>322</v>
      </c>
      <c r="J46" s="292"/>
      <c r="K46" s="292" t="s">
        <v>323</v>
      </c>
      <c r="L46" s="710" t="s">
        <v>362</v>
      </c>
      <c r="M46" s="711"/>
      <c r="N46" s="711"/>
      <c r="O46" s="711"/>
      <c r="P46" s="711"/>
      <c r="Q46" s="711"/>
      <c r="R46" s="711"/>
      <c r="S46" s="711"/>
      <c r="T46" s="711"/>
      <c r="U46" s="711"/>
      <c r="V46" s="710" t="s">
        <v>363</v>
      </c>
      <c r="W46" s="711"/>
      <c r="X46" s="711"/>
      <c r="Y46" s="711"/>
      <c r="Z46" s="711"/>
      <c r="AA46" s="711"/>
      <c r="AB46" s="711"/>
      <c r="AC46" s="711"/>
      <c r="AD46" s="711"/>
      <c r="AE46" s="712"/>
    </row>
    <row r="47" spans="1:31" customFormat="1" ht="60.75" customHeight="1" x14ac:dyDescent="0.3">
      <c r="A47" s="294"/>
      <c r="B47" s="714"/>
      <c r="C47" s="290"/>
      <c r="D47" s="302" t="s">
        <v>43</v>
      </c>
      <c r="E47" s="309" t="s">
        <v>364</v>
      </c>
      <c r="F47" s="302" t="s">
        <v>43</v>
      </c>
      <c r="G47" s="309" t="s">
        <v>365</v>
      </c>
      <c r="H47" s="302" t="s">
        <v>43</v>
      </c>
      <c r="I47" s="309" t="s">
        <v>366</v>
      </c>
      <c r="J47" s="302" t="s">
        <v>43</v>
      </c>
      <c r="K47" s="310" t="s">
        <v>367</v>
      </c>
      <c r="L47" s="307" t="s">
        <v>43</v>
      </c>
      <c r="M47" s="469" t="s">
        <v>368</v>
      </c>
      <c r="N47" s="302" t="s">
        <v>43</v>
      </c>
      <c r="O47" s="469" t="s">
        <v>369</v>
      </c>
      <c r="P47" s="302" t="s">
        <v>43</v>
      </c>
      <c r="Q47" s="469" t="s">
        <v>370</v>
      </c>
      <c r="R47" s="302" t="s">
        <v>43</v>
      </c>
      <c r="S47" s="469" t="s">
        <v>371</v>
      </c>
      <c r="T47" s="302" t="s">
        <v>43</v>
      </c>
      <c r="U47" s="503" t="s">
        <v>372</v>
      </c>
      <c r="V47" s="307" t="s">
        <v>43</v>
      </c>
      <c r="W47" s="469" t="s">
        <v>373</v>
      </c>
      <c r="X47" s="302" t="s">
        <v>43</v>
      </c>
      <c r="Y47" s="469" t="s">
        <v>374</v>
      </c>
      <c r="Z47" s="302" t="s">
        <v>43</v>
      </c>
      <c r="AA47" s="469" t="s">
        <v>375</v>
      </c>
      <c r="AB47" s="302" t="s">
        <v>43</v>
      </c>
      <c r="AC47" s="469" t="s">
        <v>376</v>
      </c>
      <c r="AD47" s="302" t="s">
        <v>43</v>
      </c>
      <c r="AE47" s="470" t="s">
        <v>377</v>
      </c>
    </row>
    <row r="48" spans="1:31" ht="13" x14ac:dyDescent="0.3">
      <c r="A48" s="53" t="s">
        <v>87</v>
      </c>
      <c r="B48" s="39" t="s">
        <v>378</v>
      </c>
      <c r="C48" s="67" t="s">
        <v>87</v>
      </c>
      <c r="D48" s="67"/>
      <c r="E48" s="640"/>
      <c r="F48" s="56"/>
      <c r="G48" s="641"/>
      <c r="H48" s="56"/>
      <c r="I48" s="640"/>
      <c r="J48" s="56"/>
      <c r="K48" s="620"/>
      <c r="L48" s="168"/>
      <c r="M48" s="640"/>
      <c r="N48" s="56"/>
      <c r="O48" s="641"/>
      <c r="P48" s="56"/>
      <c r="Q48" s="640"/>
      <c r="R48" s="56"/>
      <c r="S48" s="641"/>
      <c r="T48" s="56"/>
      <c r="U48" s="640"/>
      <c r="V48" s="168"/>
      <c r="W48" s="640"/>
      <c r="X48" s="56"/>
      <c r="Y48" s="641"/>
      <c r="Z48" s="56"/>
      <c r="AA48" s="640"/>
      <c r="AB48" s="56"/>
      <c r="AC48" s="641"/>
      <c r="AD48" s="56"/>
      <c r="AE48" s="622"/>
    </row>
    <row r="49" spans="1:31" ht="13" x14ac:dyDescent="0.3">
      <c r="A49" s="61" t="s">
        <v>89</v>
      </c>
      <c r="B49" s="62" t="s">
        <v>379</v>
      </c>
      <c r="C49" s="295" t="s">
        <v>89</v>
      </c>
      <c r="D49" s="295"/>
      <c r="E49" s="298">
        <f>SUM(E50:E52)</f>
        <v>0</v>
      </c>
      <c r="F49" s="66"/>
      <c r="G49" s="298">
        <f>SUM(G50:G52)</f>
        <v>0</v>
      </c>
      <c r="H49" s="66"/>
      <c r="I49" s="298">
        <f>SUM(I50:I52)</f>
        <v>0</v>
      </c>
      <c r="J49" s="66"/>
      <c r="K49" s="65">
        <f>SUM(K50:K52)</f>
        <v>0</v>
      </c>
      <c r="L49" s="308"/>
      <c r="M49" s="298">
        <f>SUM(M50:M52)</f>
        <v>0</v>
      </c>
      <c r="N49" s="66"/>
      <c r="O49" s="298">
        <f>SUM(O50:O52)</f>
        <v>0</v>
      </c>
      <c r="P49" s="66"/>
      <c r="Q49" s="298">
        <f>SUM(Q50:Q52)</f>
        <v>0</v>
      </c>
      <c r="R49" s="66"/>
      <c r="S49" s="298">
        <f>SUM(S50:S52)</f>
        <v>0</v>
      </c>
      <c r="T49" s="66"/>
      <c r="U49" s="298">
        <f>SUM(U50:U52)</f>
        <v>0</v>
      </c>
      <c r="V49" s="308"/>
      <c r="W49" s="298">
        <f>SUM(W50:W52)</f>
        <v>0</v>
      </c>
      <c r="X49" s="66"/>
      <c r="Y49" s="298">
        <f>SUM(Y50:Y52)</f>
        <v>0</v>
      </c>
      <c r="Z49" s="66"/>
      <c r="AA49" s="298">
        <f>SUM(AA50:AA52)</f>
        <v>0</v>
      </c>
      <c r="AB49" s="66"/>
      <c r="AC49" s="298">
        <f>SUM(AC50:AC52)</f>
        <v>0</v>
      </c>
      <c r="AD49" s="66"/>
      <c r="AE49" s="103">
        <f>SUM(AE50:AE52)</f>
        <v>0</v>
      </c>
    </row>
    <row r="50" spans="1:31" ht="13" x14ac:dyDescent="0.3">
      <c r="A50" s="53"/>
      <c r="B50" s="99" t="s">
        <v>380</v>
      </c>
      <c r="C50" s="67"/>
      <c r="D50" s="67"/>
      <c r="E50" s="642"/>
      <c r="F50" s="56"/>
      <c r="G50" s="642"/>
      <c r="H50" s="56"/>
      <c r="I50" s="642"/>
      <c r="J50" s="56"/>
      <c r="K50" s="621"/>
      <c r="L50" s="168"/>
      <c r="M50" s="642"/>
      <c r="N50" s="56"/>
      <c r="O50" s="642"/>
      <c r="P50" s="56"/>
      <c r="Q50" s="642"/>
      <c r="R50" s="56"/>
      <c r="S50" s="642"/>
      <c r="T50" s="56"/>
      <c r="U50" s="642"/>
      <c r="V50" s="168"/>
      <c r="W50" s="642"/>
      <c r="X50" s="56"/>
      <c r="Y50" s="642"/>
      <c r="Z50" s="56"/>
      <c r="AA50" s="642"/>
      <c r="AB50" s="56"/>
      <c r="AC50" s="642"/>
      <c r="AD50" s="56"/>
      <c r="AE50" s="643"/>
    </row>
    <row r="51" spans="1:31" ht="13" x14ac:dyDescent="0.3">
      <c r="A51" s="53"/>
      <c r="B51" s="99" t="s">
        <v>381</v>
      </c>
      <c r="C51" s="67"/>
      <c r="D51" s="67"/>
      <c r="E51" s="642"/>
      <c r="F51" s="56"/>
      <c r="G51" s="642"/>
      <c r="H51" s="56"/>
      <c r="I51" s="642"/>
      <c r="J51" s="56"/>
      <c r="K51" s="621"/>
      <c r="L51" s="168"/>
      <c r="M51" s="642"/>
      <c r="N51" s="56"/>
      <c r="O51" s="642"/>
      <c r="P51" s="56"/>
      <c r="Q51" s="642"/>
      <c r="R51" s="56"/>
      <c r="S51" s="642"/>
      <c r="T51" s="56"/>
      <c r="U51" s="642"/>
      <c r="V51" s="168"/>
      <c r="W51" s="642"/>
      <c r="X51" s="56"/>
      <c r="Y51" s="642"/>
      <c r="Z51" s="56"/>
      <c r="AA51" s="642"/>
      <c r="AB51" s="56"/>
      <c r="AC51" s="642"/>
      <c r="AD51" s="56"/>
      <c r="AE51" s="643"/>
    </row>
    <row r="52" spans="1:31" ht="13" x14ac:dyDescent="0.3">
      <c r="A52" s="53"/>
      <c r="B52" s="99" t="s">
        <v>382</v>
      </c>
      <c r="C52" s="67"/>
      <c r="D52" s="67"/>
      <c r="E52" s="642"/>
      <c r="F52" s="56"/>
      <c r="G52" s="642"/>
      <c r="H52" s="56"/>
      <c r="I52" s="642"/>
      <c r="J52" s="56"/>
      <c r="K52" s="621"/>
      <c r="L52" s="168"/>
      <c r="M52" s="642"/>
      <c r="N52" s="56"/>
      <c r="O52" s="642"/>
      <c r="P52" s="56"/>
      <c r="Q52" s="642"/>
      <c r="R52" s="56"/>
      <c r="S52" s="642"/>
      <c r="T52" s="56"/>
      <c r="U52" s="642"/>
      <c r="V52" s="168"/>
      <c r="W52" s="642"/>
      <c r="X52" s="56"/>
      <c r="Y52" s="642"/>
      <c r="Z52" s="56"/>
      <c r="AA52" s="642"/>
      <c r="AB52" s="56"/>
      <c r="AC52" s="642"/>
      <c r="AD52" s="56"/>
      <c r="AE52" s="643"/>
    </row>
    <row r="53" spans="1:31" ht="13" x14ac:dyDescent="0.3">
      <c r="A53" s="53" t="s">
        <v>133</v>
      </c>
      <c r="B53" s="39" t="s">
        <v>383</v>
      </c>
      <c r="C53" s="67" t="s">
        <v>133</v>
      </c>
      <c r="D53" s="67"/>
      <c r="E53" s="299">
        <f>E48+E49</f>
        <v>0</v>
      </c>
      <c r="F53" s="56"/>
      <c r="G53" s="299">
        <f>G48+G49</f>
        <v>0</v>
      </c>
      <c r="H53" s="56"/>
      <c r="I53" s="299">
        <f>I48+I49</f>
        <v>0</v>
      </c>
      <c r="J53" s="56"/>
      <c r="K53" s="101">
        <f>K48+K49</f>
        <v>0</v>
      </c>
      <c r="L53" s="168"/>
      <c r="M53" s="299">
        <f>M48+M49</f>
        <v>0</v>
      </c>
      <c r="N53" s="56"/>
      <c r="O53" s="299">
        <f>O48+O49</f>
        <v>0</v>
      </c>
      <c r="P53" s="56"/>
      <c r="Q53" s="299">
        <f>Q48+Q49</f>
        <v>0</v>
      </c>
      <c r="R53" s="56"/>
      <c r="S53" s="299">
        <f>S48+S49</f>
        <v>0</v>
      </c>
      <c r="T53" s="56"/>
      <c r="U53" s="299">
        <f>U48+U49</f>
        <v>0</v>
      </c>
      <c r="V53" s="168"/>
      <c r="W53" s="299">
        <f>W48+W49</f>
        <v>0</v>
      </c>
      <c r="X53" s="56"/>
      <c r="Y53" s="299">
        <f>Y48+Y49</f>
        <v>0</v>
      </c>
      <c r="Z53" s="56"/>
      <c r="AA53" s="299">
        <f>AA48+AA49</f>
        <v>0</v>
      </c>
      <c r="AB53" s="56"/>
      <c r="AC53" s="299">
        <f>AC48+AC49</f>
        <v>0</v>
      </c>
      <c r="AD53" s="56"/>
      <c r="AE53" s="104">
        <f>AE48+AE49</f>
        <v>0</v>
      </c>
    </row>
    <row r="54" spans="1:31" ht="13" x14ac:dyDescent="0.3">
      <c r="A54" s="53">
        <v>2</v>
      </c>
      <c r="B54" s="68" t="s">
        <v>384</v>
      </c>
      <c r="C54" s="67">
        <v>2</v>
      </c>
      <c r="D54" s="67"/>
      <c r="E54" s="642"/>
      <c r="F54" s="56"/>
      <c r="G54" s="642"/>
      <c r="H54" s="56"/>
      <c r="I54" s="642"/>
      <c r="J54" s="56"/>
      <c r="K54" s="621"/>
      <c r="L54" s="168"/>
      <c r="M54" s="642"/>
      <c r="N54" s="56"/>
      <c r="O54" s="642"/>
      <c r="P54" s="56"/>
      <c r="Q54" s="642"/>
      <c r="R54" s="56"/>
      <c r="S54" s="642"/>
      <c r="T54" s="56"/>
      <c r="U54" s="642"/>
      <c r="V54" s="168"/>
      <c r="W54" s="642"/>
      <c r="X54" s="56"/>
      <c r="Y54" s="642"/>
      <c r="Z54" s="56"/>
      <c r="AA54" s="642"/>
      <c r="AB54" s="56"/>
      <c r="AC54" s="642"/>
      <c r="AD54" s="56"/>
      <c r="AE54" s="643"/>
    </row>
    <row r="55" spans="1:31" ht="13" x14ac:dyDescent="0.3">
      <c r="A55" s="53" t="s">
        <v>145</v>
      </c>
      <c r="B55" s="68" t="s">
        <v>385</v>
      </c>
      <c r="C55" s="67" t="s">
        <v>145</v>
      </c>
      <c r="D55" s="67"/>
      <c r="E55" s="642"/>
      <c r="F55" s="56"/>
      <c r="G55" s="642"/>
      <c r="H55" s="56"/>
      <c r="I55" s="642"/>
      <c r="J55" s="56"/>
      <c r="K55" s="621"/>
      <c r="L55" s="168"/>
      <c r="M55" s="642"/>
      <c r="N55" s="56"/>
      <c r="O55" s="642"/>
      <c r="P55" s="56"/>
      <c r="Q55" s="642"/>
      <c r="R55" s="56"/>
      <c r="S55" s="642"/>
      <c r="T55" s="56"/>
      <c r="U55" s="642"/>
      <c r="V55" s="168"/>
      <c r="W55" s="642"/>
      <c r="X55" s="56"/>
      <c r="Y55" s="642"/>
      <c r="Z55" s="56"/>
      <c r="AA55" s="642"/>
      <c r="AB55" s="56"/>
      <c r="AC55" s="642"/>
      <c r="AD55" s="56"/>
      <c r="AE55" s="643"/>
    </row>
    <row r="56" spans="1:31" ht="13" x14ac:dyDescent="0.3">
      <c r="A56" s="53" t="s">
        <v>89</v>
      </c>
      <c r="B56" s="68" t="s">
        <v>386</v>
      </c>
      <c r="C56" s="67" t="s">
        <v>89</v>
      </c>
      <c r="D56" s="67"/>
      <c r="E56" s="642"/>
      <c r="F56" s="56"/>
      <c r="G56" s="642"/>
      <c r="H56" s="56"/>
      <c r="I56" s="642"/>
      <c r="J56" s="56"/>
      <c r="K56" s="621"/>
      <c r="L56" s="168"/>
      <c r="M56" s="642"/>
      <c r="N56" s="56"/>
      <c r="O56" s="642"/>
      <c r="P56" s="56"/>
      <c r="Q56" s="642"/>
      <c r="R56" s="56"/>
      <c r="S56" s="642"/>
      <c r="T56" s="56"/>
      <c r="U56" s="642"/>
      <c r="V56" s="168"/>
      <c r="W56" s="642"/>
      <c r="X56" s="56"/>
      <c r="Y56" s="642"/>
      <c r="Z56" s="56"/>
      <c r="AA56" s="642"/>
      <c r="AB56" s="56"/>
      <c r="AC56" s="642"/>
      <c r="AD56" s="56"/>
      <c r="AE56" s="643"/>
    </row>
    <row r="57" spans="1:31" ht="13" x14ac:dyDescent="0.3">
      <c r="A57" s="53">
        <v>4</v>
      </c>
      <c r="B57" s="68" t="s">
        <v>387</v>
      </c>
      <c r="C57" s="67">
        <v>4</v>
      </c>
      <c r="D57" s="67"/>
      <c r="E57" s="642"/>
      <c r="F57" s="56"/>
      <c r="G57" s="642"/>
      <c r="H57" s="56"/>
      <c r="I57" s="642"/>
      <c r="J57" s="56"/>
      <c r="K57" s="621"/>
      <c r="L57" s="168"/>
      <c r="M57" s="642"/>
      <c r="N57" s="56"/>
      <c r="O57" s="642"/>
      <c r="P57" s="56"/>
      <c r="Q57" s="642"/>
      <c r="R57" s="56"/>
      <c r="S57" s="642"/>
      <c r="T57" s="56"/>
      <c r="U57" s="642"/>
      <c r="V57" s="168"/>
      <c r="W57" s="642"/>
      <c r="X57" s="56"/>
      <c r="Y57" s="642"/>
      <c r="Z57" s="56"/>
      <c r="AA57" s="642"/>
      <c r="AB57" s="56"/>
      <c r="AC57" s="642"/>
      <c r="AD57" s="56"/>
      <c r="AE57" s="643"/>
    </row>
    <row r="58" spans="1:31" ht="13" x14ac:dyDescent="0.3">
      <c r="A58" s="53" t="s">
        <v>388</v>
      </c>
      <c r="B58" s="68" t="s">
        <v>389</v>
      </c>
      <c r="C58" s="67" t="s">
        <v>388</v>
      </c>
      <c r="D58" s="67"/>
      <c r="E58" s="642"/>
      <c r="F58" s="56"/>
      <c r="G58" s="642"/>
      <c r="H58" s="56"/>
      <c r="I58" s="642"/>
      <c r="J58" s="56"/>
      <c r="K58" s="621"/>
      <c r="L58" s="168"/>
      <c r="M58" s="642"/>
      <c r="N58" s="56"/>
      <c r="O58" s="642"/>
      <c r="P58" s="56"/>
      <c r="Q58" s="642"/>
      <c r="R58" s="56"/>
      <c r="S58" s="642"/>
      <c r="T58" s="56"/>
      <c r="U58" s="642"/>
      <c r="V58" s="168"/>
      <c r="W58" s="642"/>
      <c r="X58" s="56"/>
      <c r="Y58" s="642"/>
      <c r="Z58" s="56"/>
      <c r="AA58" s="642"/>
      <c r="AB58" s="56"/>
      <c r="AC58" s="642"/>
      <c r="AD58" s="56"/>
      <c r="AE58" s="643"/>
    </row>
    <row r="59" spans="1:31" ht="26" x14ac:dyDescent="0.3">
      <c r="A59" s="53" t="s">
        <v>89</v>
      </c>
      <c r="B59" s="68" t="s">
        <v>390</v>
      </c>
      <c r="C59" s="67" t="s">
        <v>89</v>
      </c>
      <c r="D59" s="67"/>
      <c r="E59" s="642"/>
      <c r="F59" s="56"/>
      <c r="G59" s="642"/>
      <c r="H59" s="56"/>
      <c r="I59" s="642"/>
      <c r="J59" s="56"/>
      <c r="K59" s="621"/>
      <c r="L59" s="168"/>
      <c r="M59" s="642"/>
      <c r="N59" s="56"/>
      <c r="O59" s="642"/>
      <c r="P59" s="56"/>
      <c r="Q59" s="642"/>
      <c r="R59" s="56"/>
      <c r="S59" s="642"/>
      <c r="T59" s="56"/>
      <c r="U59" s="642"/>
      <c r="V59" s="168"/>
      <c r="W59" s="642"/>
      <c r="X59" s="56"/>
      <c r="Y59" s="642"/>
      <c r="Z59" s="56"/>
      <c r="AA59" s="642"/>
      <c r="AB59" s="56"/>
      <c r="AC59" s="642"/>
      <c r="AD59" s="56"/>
      <c r="AE59" s="643"/>
    </row>
    <row r="60" spans="1:31" ht="13" x14ac:dyDescent="0.3">
      <c r="A60" s="53">
        <v>6</v>
      </c>
      <c r="B60" s="68" t="s">
        <v>391</v>
      </c>
      <c r="C60" s="67">
        <v>6</v>
      </c>
      <c r="D60" s="67"/>
      <c r="E60" s="642"/>
      <c r="F60" s="56"/>
      <c r="G60" s="642"/>
      <c r="H60" s="56"/>
      <c r="I60" s="642"/>
      <c r="J60" s="56"/>
      <c r="K60" s="621"/>
      <c r="L60" s="168"/>
      <c r="M60" s="642"/>
      <c r="N60" s="56"/>
      <c r="O60" s="642"/>
      <c r="P60" s="56"/>
      <c r="Q60" s="642"/>
      <c r="R60" s="56"/>
      <c r="S60" s="642"/>
      <c r="T60" s="56"/>
      <c r="U60" s="642"/>
      <c r="V60" s="168"/>
      <c r="W60" s="642"/>
      <c r="X60" s="56"/>
      <c r="Y60" s="642"/>
      <c r="Z60" s="56"/>
      <c r="AA60" s="642"/>
      <c r="AB60" s="56"/>
      <c r="AC60" s="642"/>
      <c r="AD60" s="56"/>
      <c r="AE60" s="643"/>
    </row>
    <row r="61" spans="1:31" ht="13" x14ac:dyDescent="0.3">
      <c r="A61" s="53">
        <v>7</v>
      </c>
      <c r="B61" s="62" t="s">
        <v>392</v>
      </c>
      <c r="C61" s="295">
        <v>7</v>
      </c>
      <c r="D61" s="295"/>
      <c r="E61" s="298">
        <f>SUM(E62:E64)</f>
        <v>0</v>
      </c>
      <c r="F61" s="66"/>
      <c r="G61" s="298">
        <f>SUM(G62:G64)</f>
        <v>0</v>
      </c>
      <c r="H61" s="66"/>
      <c r="I61" s="298">
        <f>SUM(I62:I64)</f>
        <v>0</v>
      </c>
      <c r="J61" s="66"/>
      <c r="K61" s="65">
        <f>SUM(K62:K64)</f>
        <v>0</v>
      </c>
      <c r="L61" s="308"/>
      <c r="M61" s="298">
        <f>SUM(M62:M64)</f>
        <v>0</v>
      </c>
      <c r="N61" s="66"/>
      <c r="O61" s="298">
        <f>SUM(O62:O64)</f>
        <v>0</v>
      </c>
      <c r="P61" s="66"/>
      <c r="Q61" s="298">
        <f>SUM(Q62:Q64)</f>
        <v>0</v>
      </c>
      <c r="R61" s="66"/>
      <c r="S61" s="298">
        <f>SUM(S62:S64)</f>
        <v>0</v>
      </c>
      <c r="T61" s="66"/>
      <c r="U61" s="298">
        <f>SUM(U62:U64)</f>
        <v>0</v>
      </c>
      <c r="V61" s="308"/>
      <c r="W61" s="298">
        <f>SUM(W62:W64)</f>
        <v>0</v>
      </c>
      <c r="X61" s="66"/>
      <c r="Y61" s="298">
        <f>SUM(Y62:Y64)</f>
        <v>0</v>
      </c>
      <c r="Z61" s="66"/>
      <c r="AA61" s="298">
        <f>SUM(AA62:AA64)</f>
        <v>0</v>
      </c>
      <c r="AB61" s="66"/>
      <c r="AC61" s="298">
        <f>SUM(AC62:AC64)</f>
        <v>0</v>
      </c>
      <c r="AD61" s="66"/>
      <c r="AE61" s="103">
        <f>SUM(AE62:AE64)</f>
        <v>0</v>
      </c>
    </row>
    <row r="62" spans="1:31" ht="13" x14ac:dyDescent="0.3">
      <c r="A62" s="53"/>
      <c r="B62" s="99" t="s">
        <v>393</v>
      </c>
      <c r="C62" s="67"/>
      <c r="D62" s="67"/>
      <c r="E62" s="642"/>
      <c r="F62" s="56"/>
      <c r="G62" s="642"/>
      <c r="H62" s="56"/>
      <c r="I62" s="642"/>
      <c r="J62" s="56"/>
      <c r="K62" s="621"/>
      <c r="L62" s="168"/>
      <c r="M62" s="642"/>
      <c r="N62" s="56"/>
      <c r="O62" s="642"/>
      <c r="P62" s="56"/>
      <c r="Q62" s="642"/>
      <c r="R62" s="56"/>
      <c r="S62" s="642"/>
      <c r="T62" s="56"/>
      <c r="U62" s="642"/>
      <c r="V62" s="168"/>
      <c r="W62" s="642"/>
      <c r="X62" s="56"/>
      <c r="Y62" s="642"/>
      <c r="Z62" s="56"/>
      <c r="AA62" s="642"/>
      <c r="AB62" s="56"/>
      <c r="AC62" s="642"/>
      <c r="AD62" s="56"/>
      <c r="AE62" s="643"/>
    </row>
    <row r="63" spans="1:31" ht="13" x14ac:dyDescent="0.3">
      <c r="A63" s="53"/>
      <c r="B63" s="99" t="s">
        <v>394</v>
      </c>
      <c r="C63" s="67"/>
      <c r="D63" s="67"/>
      <c r="E63" s="642"/>
      <c r="F63" s="56"/>
      <c r="G63" s="642"/>
      <c r="H63" s="56"/>
      <c r="I63" s="642"/>
      <c r="J63" s="56"/>
      <c r="K63" s="621"/>
      <c r="L63" s="168"/>
      <c r="M63" s="642"/>
      <c r="N63" s="56"/>
      <c r="O63" s="642"/>
      <c r="P63" s="56"/>
      <c r="Q63" s="642"/>
      <c r="R63" s="56"/>
      <c r="S63" s="642"/>
      <c r="T63" s="56"/>
      <c r="U63" s="642"/>
      <c r="V63" s="168"/>
      <c r="W63" s="642"/>
      <c r="X63" s="56"/>
      <c r="Y63" s="642"/>
      <c r="Z63" s="56"/>
      <c r="AA63" s="642"/>
      <c r="AB63" s="56"/>
      <c r="AC63" s="642"/>
      <c r="AD63" s="56"/>
      <c r="AE63" s="643"/>
    </row>
    <row r="64" spans="1:31" ht="13" x14ac:dyDescent="0.3">
      <c r="A64" s="53"/>
      <c r="B64" s="99" t="s">
        <v>395</v>
      </c>
      <c r="C64" s="67"/>
      <c r="D64" s="67"/>
      <c r="E64" s="642"/>
      <c r="F64" s="56"/>
      <c r="G64" s="642"/>
      <c r="H64" s="56"/>
      <c r="I64" s="642"/>
      <c r="J64" s="56"/>
      <c r="K64" s="621"/>
      <c r="L64" s="168"/>
      <c r="M64" s="642"/>
      <c r="N64" s="56"/>
      <c r="O64" s="642"/>
      <c r="P64" s="56"/>
      <c r="Q64" s="642"/>
      <c r="R64" s="56"/>
      <c r="S64" s="642"/>
      <c r="T64" s="56"/>
      <c r="U64" s="642"/>
      <c r="V64" s="168"/>
      <c r="W64" s="642"/>
      <c r="X64" s="56"/>
      <c r="Y64" s="642"/>
      <c r="Z64" s="56"/>
      <c r="AA64" s="642"/>
      <c r="AB64" s="56"/>
      <c r="AC64" s="642"/>
      <c r="AD64" s="56"/>
      <c r="AE64" s="643"/>
    </row>
    <row r="65" spans="1:31" ht="13" x14ac:dyDescent="0.3">
      <c r="A65" s="53">
        <v>8</v>
      </c>
      <c r="B65" s="39" t="s">
        <v>396</v>
      </c>
      <c r="C65" s="67">
        <v>8</v>
      </c>
      <c r="D65" s="67"/>
      <c r="E65" s="299">
        <f>SUM(E53:E61)</f>
        <v>0</v>
      </c>
      <c r="F65" s="56"/>
      <c r="G65" s="299">
        <f>SUM(G53:G61)</f>
        <v>0</v>
      </c>
      <c r="H65" s="56"/>
      <c r="I65" s="299">
        <f>SUM(I53:I61)</f>
        <v>0</v>
      </c>
      <c r="J65" s="56"/>
      <c r="K65" s="299">
        <f>SUM(K53:K61)</f>
        <v>0</v>
      </c>
      <c r="L65" s="168"/>
      <c r="M65" s="299">
        <f>SUM(M53:M61)</f>
        <v>0</v>
      </c>
      <c r="N65" s="56"/>
      <c r="O65" s="299">
        <f>SUM(O53:O61)</f>
        <v>0</v>
      </c>
      <c r="P65" s="56"/>
      <c r="Q65" s="299">
        <f>SUM(Q53:Q61)</f>
        <v>0</v>
      </c>
      <c r="R65" s="56"/>
      <c r="S65" s="299">
        <f>SUM(S53:S61)</f>
        <v>0</v>
      </c>
      <c r="T65" s="56"/>
      <c r="U65" s="299">
        <f>SUM(U53:U61)</f>
        <v>0</v>
      </c>
      <c r="V65" s="168"/>
      <c r="W65" s="299">
        <f>SUM(W53:W61)</f>
        <v>0</v>
      </c>
      <c r="X65" s="56"/>
      <c r="Y65" s="299">
        <f>SUM(Y53:Y61)</f>
        <v>0</v>
      </c>
      <c r="Z65" s="56"/>
      <c r="AA65" s="299">
        <f>SUM(AA53:AA61)</f>
        <v>0</v>
      </c>
      <c r="AB65" s="56"/>
      <c r="AC65" s="299">
        <f>SUM(AC53:AC61)</f>
        <v>0</v>
      </c>
      <c r="AD65" s="56"/>
      <c r="AE65" s="104">
        <f>SUM(AE53:AE61)</f>
        <v>0</v>
      </c>
    </row>
    <row r="66" spans="1:31" ht="13" x14ac:dyDescent="0.3">
      <c r="A66" s="53">
        <v>9</v>
      </c>
      <c r="B66" s="68" t="s">
        <v>397</v>
      </c>
      <c r="C66" s="67">
        <v>9</v>
      </c>
      <c r="D66" s="67"/>
      <c r="E66" s="642"/>
      <c r="F66" s="56"/>
      <c r="G66" s="642"/>
      <c r="H66" s="56"/>
      <c r="I66" s="642"/>
      <c r="J66" s="56"/>
      <c r="K66" s="621"/>
      <c r="L66" s="168"/>
      <c r="M66" s="642"/>
      <c r="N66" s="56"/>
      <c r="O66" s="642"/>
      <c r="P66" s="56"/>
      <c r="Q66" s="642"/>
      <c r="R66" s="56"/>
      <c r="S66" s="642"/>
      <c r="T66" s="56"/>
      <c r="U66" s="642"/>
      <c r="V66" s="168"/>
      <c r="W66" s="642"/>
      <c r="X66" s="56"/>
      <c r="Y66" s="642"/>
      <c r="Z66" s="56"/>
      <c r="AA66" s="642"/>
      <c r="AB66" s="56"/>
      <c r="AC66" s="642"/>
      <c r="AD66" s="56"/>
      <c r="AE66" s="643"/>
    </row>
    <row r="67" spans="1:31" ht="13" x14ac:dyDescent="0.3">
      <c r="A67" s="53">
        <v>10</v>
      </c>
      <c r="B67" s="68" t="s">
        <v>398</v>
      </c>
      <c r="C67" s="67">
        <v>10</v>
      </c>
      <c r="D67" s="67"/>
      <c r="E67" s="642"/>
      <c r="F67" s="56"/>
      <c r="G67" s="642"/>
      <c r="H67" s="56"/>
      <c r="I67" s="642"/>
      <c r="J67" s="56"/>
      <c r="K67" s="621"/>
      <c r="L67" s="168"/>
      <c r="M67" s="642"/>
      <c r="N67" s="56"/>
      <c r="O67" s="642"/>
      <c r="P67" s="56"/>
      <c r="Q67" s="642"/>
      <c r="R67" s="56"/>
      <c r="S67" s="642"/>
      <c r="T67" s="56"/>
      <c r="U67" s="642"/>
      <c r="V67" s="168"/>
      <c r="W67" s="642"/>
      <c r="X67" s="56"/>
      <c r="Y67" s="642"/>
      <c r="Z67" s="56"/>
      <c r="AA67" s="642"/>
      <c r="AB67" s="56"/>
      <c r="AC67" s="642"/>
      <c r="AD67" s="56"/>
      <c r="AE67" s="643"/>
    </row>
    <row r="68" spans="1:31" ht="13" x14ac:dyDescent="0.3">
      <c r="A68" s="53">
        <v>11</v>
      </c>
      <c r="B68" s="68" t="s">
        <v>399</v>
      </c>
      <c r="C68" s="67">
        <v>11</v>
      </c>
      <c r="D68" s="67"/>
      <c r="E68" s="642"/>
      <c r="F68" s="56"/>
      <c r="G68" s="642"/>
      <c r="H68" s="56"/>
      <c r="I68" s="642"/>
      <c r="J68" s="56"/>
      <c r="K68" s="621"/>
      <c r="L68" s="168"/>
      <c r="M68" s="642"/>
      <c r="N68" s="56"/>
      <c r="O68" s="642"/>
      <c r="P68" s="56"/>
      <c r="Q68" s="642"/>
      <c r="R68" s="56"/>
      <c r="S68" s="642"/>
      <c r="T68" s="56"/>
      <c r="U68" s="642"/>
      <c r="V68" s="168"/>
      <c r="W68" s="642"/>
      <c r="X68" s="56"/>
      <c r="Y68" s="642"/>
      <c r="Z68" s="56"/>
      <c r="AA68" s="642"/>
      <c r="AB68" s="56"/>
      <c r="AC68" s="642"/>
      <c r="AD68" s="56"/>
      <c r="AE68" s="643"/>
    </row>
    <row r="69" spans="1:31" ht="13" x14ac:dyDescent="0.3">
      <c r="A69" s="53">
        <v>12</v>
      </c>
      <c r="B69" s="68" t="s">
        <v>400</v>
      </c>
      <c r="C69" s="67">
        <v>12</v>
      </c>
      <c r="D69" s="67"/>
      <c r="E69" s="642"/>
      <c r="F69" s="56"/>
      <c r="G69" s="642"/>
      <c r="H69" s="56"/>
      <c r="I69" s="642"/>
      <c r="J69" s="56"/>
      <c r="K69" s="621"/>
      <c r="L69" s="168"/>
      <c r="M69" s="642"/>
      <c r="N69" s="56"/>
      <c r="O69" s="642"/>
      <c r="P69" s="56"/>
      <c r="Q69" s="642"/>
      <c r="R69" s="56"/>
      <c r="S69" s="642"/>
      <c r="T69" s="56"/>
      <c r="U69" s="642"/>
      <c r="V69" s="168"/>
      <c r="W69" s="642"/>
      <c r="X69" s="56"/>
      <c r="Y69" s="642"/>
      <c r="Z69" s="56"/>
      <c r="AA69" s="642"/>
      <c r="AB69" s="56"/>
      <c r="AC69" s="642"/>
      <c r="AD69" s="56"/>
      <c r="AE69" s="643"/>
    </row>
    <row r="70" spans="1:31" ht="13" x14ac:dyDescent="0.3">
      <c r="A70" s="53">
        <v>13</v>
      </c>
      <c r="B70" s="62" t="s">
        <v>392</v>
      </c>
      <c r="C70" s="295">
        <v>13</v>
      </c>
      <c r="D70" s="295"/>
      <c r="E70" s="298">
        <f>SUM(E71:E73)</f>
        <v>0</v>
      </c>
      <c r="F70" s="66"/>
      <c r="G70" s="298">
        <f>SUM(G71:G73)</f>
        <v>0</v>
      </c>
      <c r="H70" s="66"/>
      <c r="I70" s="298">
        <f>SUM(I71:I73)</f>
        <v>0</v>
      </c>
      <c r="J70" s="66"/>
      <c r="K70" s="65">
        <f>SUM(K71:K73)</f>
        <v>0</v>
      </c>
      <c r="L70" s="308"/>
      <c r="M70" s="298">
        <f>SUM(M71:M73)</f>
        <v>0</v>
      </c>
      <c r="N70" s="66"/>
      <c r="O70" s="298">
        <f>SUM(O71:O73)</f>
        <v>0</v>
      </c>
      <c r="P70" s="66"/>
      <c r="Q70" s="298">
        <f>SUM(Q71:Q73)</f>
        <v>0</v>
      </c>
      <c r="R70" s="66"/>
      <c r="S70" s="298">
        <f>SUM(S71:S73)</f>
        <v>0</v>
      </c>
      <c r="T70" s="66"/>
      <c r="U70" s="298">
        <f>SUM(U71:U73)</f>
        <v>0</v>
      </c>
      <c r="V70" s="308"/>
      <c r="W70" s="298">
        <f>SUM(W71:W73)</f>
        <v>0</v>
      </c>
      <c r="X70" s="66"/>
      <c r="Y70" s="298">
        <f>SUM(Y71:Y73)</f>
        <v>0</v>
      </c>
      <c r="Z70" s="66"/>
      <c r="AA70" s="298">
        <f>SUM(AA71:AA73)</f>
        <v>0</v>
      </c>
      <c r="AB70" s="66"/>
      <c r="AC70" s="298">
        <f>SUM(AC71:AC73)</f>
        <v>0</v>
      </c>
      <c r="AD70" s="66"/>
      <c r="AE70" s="103">
        <f>SUM(AE71:AE73)</f>
        <v>0</v>
      </c>
    </row>
    <row r="71" spans="1:31" ht="13" x14ac:dyDescent="0.3">
      <c r="A71" s="53"/>
      <c r="B71" s="99" t="s">
        <v>393</v>
      </c>
      <c r="C71" s="67"/>
      <c r="D71" s="67"/>
      <c r="E71" s="642"/>
      <c r="F71" s="56"/>
      <c r="G71" s="642"/>
      <c r="H71" s="56"/>
      <c r="I71" s="642"/>
      <c r="J71" s="56"/>
      <c r="K71" s="621"/>
      <c r="L71" s="168"/>
      <c r="M71" s="642"/>
      <c r="N71" s="56"/>
      <c r="O71" s="642"/>
      <c r="P71" s="56"/>
      <c r="Q71" s="642"/>
      <c r="R71" s="56"/>
      <c r="S71" s="642"/>
      <c r="T71" s="56"/>
      <c r="U71" s="642"/>
      <c r="V71" s="168"/>
      <c r="W71" s="642"/>
      <c r="X71" s="56"/>
      <c r="Y71" s="642"/>
      <c r="Z71" s="56"/>
      <c r="AA71" s="642"/>
      <c r="AB71" s="56"/>
      <c r="AC71" s="642"/>
      <c r="AD71" s="56"/>
      <c r="AE71" s="643"/>
    </row>
    <row r="72" spans="1:31" ht="13" x14ac:dyDescent="0.3">
      <c r="A72" s="53"/>
      <c r="B72" s="99" t="s">
        <v>394</v>
      </c>
      <c r="C72" s="67"/>
      <c r="D72" s="67"/>
      <c r="E72" s="642"/>
      <c r="F72" s="56"/>
      <c r="G72" s="642"/>
      <c r="H72" s="56"/>
      <c r="I72" s="642"/>
      <c r="J72" s="56"/>
      <c r="K72" s="621"/>
      <c r="L72" s="168"/>
      <c r="M72" s="642"/>
      <c r="N72" s="56"/>
      <c r="O72" s="642"/>
      <c r="P72" s="56"/>
      <c r="Q72" s="642"/>
      <c r="R72" s="56"/>
      <c r="S72" s="642"/>
      <c r="T72" s="56"/>
      <c r="U72" s="642"/>
      <c r="V72" s="168"/>
      <c r="W72" s="642"/>
      <c r="X72" s="56"/>
      <c r="Y72" s="642"/>
      <c r="Z72" s="56"/>
      <c r="AA72" s="642"/>
      <c r="AB72" s="56"/>
      <c r="AC72" s="642"/>
      <c r="AD72" s="56"/>
      <c r="AE72" s="643"/>
    </row>
    <row r="73" spans="1:31" ht="13" x14ac:dyDescent="0.3">
      <c r="A73" s="53"/>
      <c r="B73" s="99" t="s">
        <v>395</v>
      </c>
      <c r="C73" s="67"/>
      <c r="D73" s="67"/>
      <c r="E73" s="642"/>
      <c r="F73" s="56"/>
      <c r="G73" s="642"/>
      <c r="H73" s="56"/>
      <c r="I73" s="642"/>
      <c r="J73" s="56"/>
      <c r="K73" s="621"/>
      <c r="L73" s="168"/>
      <c r="M73" s="642"/>
      <c r="N73" s="56"/>
      <c r="O73" s="642"/>
      <c r="P73" s="56"/>
      <c r="Q73" s="642"/>
      <c r="R73" s="56"/>
      <c r="S73" s="642"/>
      <c r="T73" s="56"/>
      <c r="U73" s="642"/>
      <c r="V73" s="168"/>
      <c r="W73" s="642"/>
      <c r="X73" s="56"/>
      <c r="Y73" s="642"/>
      <c r="Z73" s="56"/>
      <c r="AA73" s="642"/>
      <c r="AB73" s="56"/>
      <c r="AC73" s="642"/>
      <c r="AD73" s="56"/>
      <c r="AE73" s="643"/>
    </row>
    <row r="74" spans="1:31" ht="13" x14ac:dyDescent="0.3">
      <c r="A74" s="53">
        <v>14</v>
      </c>
      <c r="B74" s="39" t="s">
        <v>401</v>
      </c>
      <c r="C74" s="67">
        <v>14</v>
      </c>
      <c r="D74" s="67"/>
      <c r="E74" s="642"/>
      <c r="F74" s="56"/>
      <c r="G74" s="642"/>
      <c r="H74" s="56"/>
      <c r="I74" s="642"/>
      <c r="J74" s="56"/>
      <c r="K74" s="621"/>
      <c r="L74" s="168"/>
      <c r="M74" s="642"/>
      <c r="N74" s="56"/>
      <c r="O74" s="642"/>
      <c r="P74" s="56"/>
      <c r="Q74" s="642"/>
      <c r="R74" s="56"/>
      <c r="S74" s="642"/>
      <c r="T74" s="56"/>
      <c r="U74" s="642"/>
      <c r="V74" s="168"/>
      <c r="W74" s="642"/>
      <c r="X74" s="56"/>
      <c r="Y74" s="642"/>
      <c r="Z74" s="56"/>
      <c r="AA74" s="642"/>
      <c r="AB74" s="56"/>
      <c r="AC74" s="642"/>
      <c r="AD74" s="56"/>
      <c r="AE74" s="643"/>
    </row>
    <row r="75" spans="1:31" ht="13" x14ac:dyDescent="0.3">
      <c r="A75" s="53">
        <v>15</v>
      </c>
      <c r="B75" s="39" t="s">
        <v>402</v>
      </c>
      <c r="C75" s="60">
        <v>15</v>
      </c>
      <c r="D75" s="56"/>
      <c r="E75" s="642">
        <f>E74+E70+E69+E68+E67+E65</f>
        <v>0</v>
      </c>
      <c r="F75" s="515"/>
      <c r="G75" s="516"/>
      <c r="H75" s="515"/>
      <c r="I75" s="516"/>
      <c r="J75" s="515"/>
      <c r="K75" s="517"/>
      <c r="L75" s="518"/>
      <c r="M75" s="516"/>
      <c r="N75" s="515"/>
      <c r="O75" s="516"/>
      <c r="P75" s="515"/>
      <c r="Q75" s="516"/>
      <c r="R75" s="515"/>
      <c r="S75" s="516"/>
      <c r="T75" s="515"/>
      <c r="U75" s="516"/>
      <c r="V75" s="518"/>
      <c r="W75" s="516"/>
      <c r="X75" s="515"/>
      <c r="Y75" s="516"/>
      <c r="Z75" s="515"/>
      <c r="AA75" s="516"/>
      <c r="AB75" s="515"/>
      <c r="AC75" s="516"/>
      <c r="AD75" s="515"/>
      <c r="AE75" s="519"/>
    </row>
    <row r="76" spans="1:31" ht="13" x14ac:dyDescent="0.3">
      <c r="A76" s="53">
        <v>16</v>
      </c>
      <c r="B76" s="39" t="s">
        <v>403</v>
      </c>
      <c r="C76" s="60">
        <v>16</v>
      </c>
      <c r="D76" s="56"/>
      <c r="E76" s="642"/>
      <c r="F76" s="515"/>
      <c r="G76" s="516"/>
      <c r="H76" s="515"/>
      <c r="I76" s="516"/>
      <c r="J76" s="515"/>
      <c r="K76" s="517"/>
      <c r="L76" s="518"/>
      <c r="M76" s="516"/>
      <c r="N76" s="515"/>
      <c r="O76" s="516"/>
      <c r="P76" s="515"/>
      <c r="Q76" s="516"/>
      <c r="R76" s="515"/>
      <c r="S76" s="516"/>
      <c r="T76" s="515"/>
      <c r="U76" s="516"/>
      <c r="V76" s="518"/>
      <c r="W76" s="516"/>
      <c r="X76" s="515"/>
      <c r="Y76" s="516"/>
      <c r="Z76" s="515"/>
      <c r="AA76" s="516"/>
      <c r="AB76" s="515"/>
      <c r="AC76" s="516"/>
      <c r="AD76" s="515"/>
      <c r="AE76" s="519"/>
    </row>
    <row r="77" spans="1:31" ht="13.5" thickBot="1" x14ac:dyDescent="0.35">
      <c r="A77" s="53">
        <v>17</v>
      </c>
      <c r="B77" s="39" t="s">
        <v>404</v>
      </c>
      <c r="C77" s="60">
        <v>17</v>
      </c>
      <c r="D77" s="56"/>
      <c r="E77" s="642"/>
      <c r="F77" s="515"/>
      <c r="G77" s="516"/>
      <c r="H77" s="515"/>
      <c r="I77" s="516"/>
      <c r="J77" s="515"/>
      <c r="K77" s="517"/>
      <c r="L77" s="518"/>
      <c r="M77" s="516"/>
      <c r="N77" s="515"/>
      <c r="O77" s="516"/>
      <c r="P77" s="515"/>
      <c r="Q77" s="516"/>
      <c r="R77" s="515"/>
      <c r="S77" s="516"/>
      <c r="T77" s="515"/>
      <c r="U77" s="516"/>
      <c r="V77" s="518"/>
      <c r="W77" s="516"/>
      <c r="X77" s="515"/>
      <c r="Y77" s="516"/>
      <c r="Z77" s="515"/>
      <c r="AA77" s="516"/>
      <c r="AB77" s="515"/>
      <c r="AC77" s="516"/>
      <c r="AD77" s="515"/>
      <c r="AE77" s="519"/>
    </row>
    <row r="78" spans="1:31" ht="13.5" thickBot="1" x14ac:dyDescent="0.35">
      <c r="A78" s="131">
        <v>18</v>
      </c>
      <c r="B78" s="42" t="s">
        <v>405</v>
      </c>
      <c r="C78" s="286">
        <v>18</v>
      </c>
      <c r="D78" s="296"/>
      <c r="E78" s="300">
        <v>0</v>
      </c>
      <c r="F78" s="287"/>
      <c r="G78" s="300">
        <f>G65+G66+G67+G68++G69+G70+G74</f>
        <v>0</v>
      </c>
      <c r="H78" s="287"/>
      <c r="I78" s="300">
        <f>I65+I66+I67+I68++I69+I70+I74</f>
        <v>0</v>
      </c>
      <c r="J78" s="287"/>
      <c r="K78" s="300">
        <f>K65+K66+K67+K68++K69+K70+K74</f>
        <v>0</v>
      </c>
      <c r="L78" s="296"/>
      <c r="M78" s="300">
        <f>M65+M66+M67+M68++M69+M70+M74</f>
        <v>0</v>
      </c>
      <c r="N78" s="287"/>
      <c r="O78" s="300">
        <f>O65+O66+O67+O68++O69+O70+O74</f>
        <v>0</v>
      </c>
      <c r="P78" s="287"/>
      <c r="Q78" s="300">
        <f>Q65+Q66+Q67+Q68++Q69+Q70+Q74</f>
        <v>0</v>
      </c>
      <c r="R78" s="287"/>
      <c r="S78" s="300">
        <f>S65+S66+S67+S68++S69+S70+S74</f>
        <v>0</v>
      </c>
      <c r="T78" s="287"/>
      <c r="U78" s="300">
        <f>SUM(U65:U70)+U74</f>
        <v>0</v>
      </c>
      <c r="V78" s="296"/>
      <c r="W78" s="300">
        <f>W65+W66+W67+W68++W69+W70+W74</f>
        <v>0</v>
      </c>
      <c r="X78" s="287"/>
      <c r="Y78" s="300">
        <f>Y65+Y66+Y67+Y68++Y69+Y70+Y74</f>
        <v>0</v>
      </c>
      <c r="Z78" s="287"/>
      <c r="AA78" s="300">
        <f>AA65+AA66+AA67+AA68++AA69+AA70+AA74</f>
        <v>0</v>
      </c>
      <c r="AB78" s="287"/>
      <c r="AC78" s="300">
        <f>AC65+AC66+AC67+AC68++AC69+AC70+AC74</f>
        <v>0</v>
      </c>
      <c r="AD78" s="287"/>
      <c r="AE78" s="300">
        <f>AE65+AE66+AE67+AE68++AE69+AE70+AE74</f>
        <v>0</v>
      </c>
    </row>
  </sheetData>
  <mergeCells count="8">
    <mergeCell ref="V46:AE46"/>
    <mergeCell ref="B46:B47"/>
    <mergeCell ref="L46:U46"/>
    <mergeCell ref="A11:B11"/>
    <mergeCell ref="A1:L1"/>
    <mergeCell ref="A2:L2"/>
    <mergeCell ref="A3:L3"/>
    <mergeCell ref="A4:L4"/>
  </mergeCells>
  <dataValidations count="1">
    <dataValidation type="list" allowBlank="1" showInputMessage="1" showErrorMessage="1" sqref="B9" xr:uid="{00000000-0002-0000-0700-000000000000}">
      <formula1>$M$1:$M$6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>
    <tabColor theme="3"/>
    <pageSetUpPr fitToPage="1"/>
  </sheetPr>
  <dimension ref="A1:I32"/>
  <sheetViews>
    <sheetView workbookViewId="0">
      <selection activeCell="F15" sqref="F15"/>
    </sheetView>
  </sheetViews>
  <sheetFormatPr defaultColWidth="9.7265625" defaultRowHeight="12.5" x14ac:dyDescent="0.25"/>
  <cols>
    <col min="1" max="1" width="4.81640625" style="15" customWidth="1"/>
    <col min="2" max="2" width="8" style="15" customWidth="1"/>
    <col min="3" max="3" width="34.7265625" style="15" customWidth="1"/>
    <col min="4" max="4" width="7.453125" style="15" customWidth="1"/>
    <col min="5" max="5" width="24.453125" style="15" customWidth="1"/>
    <col min="6" max="6" width="6.54296875" style="15" customWidth="1"/>
    <col min="7" max="7" width="24.453125" style="15" customWidth="1"/>
    <col min="8" max="8" width="4.7265625" style="15" customWidth="1"/>
    <col min="9" max="9" width="11" style="15" bestFit="1" customWidth="1"/>
    <col min="10" max="16384" width="9.7265625" style="15"/>
  </cols>
  <sheetData>
    <row r="1" spans="1:9" customFormat="1" ht="13" x14ac:dyDescent="0.3">
      <c r="A1" s="717">
        <f>'Basic Information'!B4</f>
        <v>0</v>
      </c>
      <c r="B1" s="718"/>
      <c r="C1" s="718"/>
      <c r="D1" s="718"/>
      <c r="E1" s="718"/>
      <c r="F1" s="718"/>
      <c r="G1" s="718"/>
      <c r="H1" s="718"/>
      <c r="I1" s="719"/>
    </row>
    <row r="2" spans="1:9" customFormat="1" x14ac:dyDescent="0.25">
      <c r="A2" s="720" t="s">
        <v>406</v>
      </c>
      <c r="B2" s="721"/>
      <c r="C2" s="721"/>
      <c r="D2" s="721"/>
      <c r="E2" s="721"/>
      <c r="F2" s="721"/>
      <c r="G2" s="721"/>
      <c r="H2" s="721"/>
      <c r="I2" s="722"/>
    </row>
    <row r="3" spans="1:9" customFormat="1" x14ac:dyDescent="0.25">
      <c r="A3" s="723" t="str">
        <f>'Basic Information'!B1</f>
        <v>12/31/24</v>
      </c>
      <c r="B3" s="721"/>
      <c r="C3" s="721"/>
      <c r="D3" s="721"/>
      <c r="E3" s="721"/>
      <c r="F3" s="721"/>
      <c r="G3" s="721"/>
      <c r="H3" s="721"/>
      <c r="I3" s="722"/>
    </row>
    <row r="4" spans="1:9" customFormat="1" x14ac:dyDescent="0.25">
      <c r="A4" s="724" t="s">
        <v>80</v>
      </c>
      <c r="B4" s="725"/>
      <c r="C4" s="725"/>
      <c r="D4" s="725"/>
      <c r="E4" s="725"/>
      <c r="F4" s="725"/>
      <c r="G4" s="725"/>
      <c r="H4" s="725"/>
      <c r="I4" s="726"/>
    </row>
    <row r="5" spans="1:9" customFormat="1" ht="13.5" thickBot="1" x14ac:dyDescent="0.35">
      <c r="A5" s="552"/>
      <c r="B5" s="553"/>
      <c r="C5" s="553"/>
      <c r="D5" s="553"/>
      <c r="E5" s="553"/>
      <c r="F5" s="553"/>
      <c r="G5" s="553"/>
      <c r="H5" s="553"/>
      <c r="I5" s="554"/>
    </row>
    <row r="6" spans="1:9" ht="13" thickBot="1" x14ac:dyDescent="0.3">
      <c r="A6" s="16"/>
    </row>
    <row r="7" spans="1:9" ht="13" thickBot="1" x14ac:dyDescent="0.3">
      <c r="A7" s="16"/>
      <c r="C7" s="466" t="s">
        <v>316</v>
      </c>
    </row>
    <row r="8" spans="1:9" ht="13" thickBot="1" x14ac:dyDescent="0.3">
      <c r="A8" s="16"/>
      <c r="C8" s="636" t="s">
        <v>315</v>
      </c>
    </row>
    <row r="9" spans="1:9" ht="13" thickBot="1" x14ac:dyDescent="0.3">
      <c r="A9" s="16"/>
    </row>
    <row r="10" spans="1:9" ht="13" x14ac:dyDescent="0.3">
      <c r="A10" s="165">
        <v>1</v>
      </c>
      <c r="B10" s="166" t="s">
        <v>407</v>
      </c>
      <c r="C10" s="167"/>
      <c r="D10" s="167"/>
      <c r="E10" s="167"/>
      <c r="F10" s="167"/>
      <c r="G10" s="362"/>
      <c r="H10" s="180">
        <v>1</v>
      </c>
      <c r="I10" s="173">
        <f>+'Income Statement'!J64</f>
        <v>0</v>
      </c>
    </row>
    <row r="11" spans="1:9" ht="13" x14ac:dyDescent="0.3">
      <c r="A11" s="168">
        <v>2</v>
      </c>
      <c r="B11" s="39" t="s">
        <v>408</v>
      </c>
      <c r="D11" s="187"/>
      <c r="E11" s="196" t="s">
        <v>409</v>
      </c>
      <c r="F11" s="193"/>
      <c r="G11" s="185" t="s">
        <v>410</v>
      </c>
      <c r="H11" s="181"/>
      <c r="I11" s="175"/>
    </row>
    <row r="12" spans="1:9" ht="13" x14ac:dyDescent="0.3">
      <c r="A12" s="168"/>
      <c r="B12" s="39" t="s">
        <v>411</v>
      </c>
      <c r="D12" s="188"/>
      <c r="E12" s="188"/>
      <c r="F12" s="183"/>
      <c r="G12" s="183"/>
      <c r="I12" s="176"/>
    </row>
    <row r="13" spans="1:9" ht="13" x14ac:dyDescent="0.3">
      <c r="A13" s="168" t="s">
        <v>152</v>
      </c>
      <c r="B13" s="39" t="s">
        <v>412</v>
      </c>
      <c r="D13" s="189" t="s">
        <v>43</v>
      </c>
      <c r="E13" s="645"/>
      <c r="F13" s="194" t="s">
        <v>43</v>
      </c>
      <c r="G13" s="646"/>
      <c r="I13" s="176"/>
    </row>
    <row r="14" spans="1:9" ht="13" x14ac:dyDescent="0.3">
      <c r="A14" s="168" t="s">
        <v>89</v>
      </c>
      <c r="B14" s="39" t="s">
        <v>413</v>
      </c>
      <c r="D14" s="54"/>
      <c r="E14" s="645"/>
      <c r="F14" s="54"/>
      <c r="G14" s="646"/>
      <c r="I14" s="176"/>
    </row>
    <row r="15" spans="1:9" ht="13" x14ac:dyDescent="0.3">
      <c r="A15" s="168" t="s">
        <v>133</v>
      </c>
      <c r="B15" s="39" t="s">
        <v>117</v>
      </c>
      <c r="D15" s="190"/>
      <c r="E15" s="645"/>
      <c r="F15" s="183"/>
      <c r="G15" s="646"/>
      <c r="I15" s="176"/>
    </row>
    <row r="16" spans="1:9" ht="13" x14ac:dyDescent="0.3">
      <c r="A16" s="168" t="s">
        <v>170</v>
      </c>
      <c r="B16" s="39" t="s">
        <v>414</v>
      </c>
      <c r="D16" s="190"/>
      <c r="E16" s="645"/>
      <c r="F16" s="183"/>
      <c r="G16" s="646"/>
      <c r="I16" s="176"/>
    </row>
    <row r="17" spans="1:9" ht="13" x14ac:dyDescent="0.3">
      <c r="A17" s="168" t="s">
        <v>190</v>
      </c>
      <c r="B17" s="39" t="s">
        <v>415</v>
      </c>
      <c r="D17" s="191"/>
      <c r="E17" s="645"/>
      <c r="F17" s="183"/>
      <c r="G17" s="646"/>
      <c r="I17" s="176"/>
    </row>
    <row r="18" spans="1:9" ht="13" x14ac:dyDescent="0.3">
      <c r="A18" s="168" t="s">
        <v>193</v>
      </c>
      <c r="B18" s="39" t="s">
        <v>416</v>
      </c>
      <c r="D18" s="191"/>
      <c r="E18" s="645"/>
      <c r="F18" s="183"/>
      <c r="G18" s="646"/>
      <c r="I18" s="176"/>
    </row>
    <row r="19" spans="1:9" ht="13" x14ac:dyDescent="0.3">
      <c r="A19" s="168" t="s">
        <v>208</v>
      </c>
      <c r="B19" s="39" t="s">
        <v>417</v>
      </c>
      <c r="D19" s="191"/>
      <c r="E19" s="645"/>
      <c r="F19" s="54"/>
      <c r="G19" s="361">
        <f>'Schedule E &amp; E-1'!U21</f>
        <v>0</v>
      </c>
      <c r="I19" s="176"/>
    </row>
    <row r="20" spans="1:9" ht="13" x14ac:dyDescent="0.3">
      <c r="A20" s="168" t="s">
        <v>210</v>
      </c>
      <c r="B20" s="39" t="s">
        <v>418</v>
      </c>
      <c r="D20" s="191"/>
      <c r="E20" s="645"/>
      <c r="F20" s="183"/>
      <c r="G20" s="645"/>
      <c r="I20" s="176"/>
    </row>
    <row r="21" spans="1:9" ht="13" x14ac:dyDescent="0.3">
      <c r="A21" s="168" t="s">
        <v>419</v>
      </c>
      <c r="B21" s="39" t="s">
        <v>132</v>
      </c>
      <c r="D21" s="188"/>
      <c r="E21" s="645"/>
      <c r="F21" s="183"/>
      <c r="G21" s="646"/>
      <c r="I21" s="176"/>
    </row>
    <row r="22" spans="1:9" ht="13.5" thickBot="1" x14ac:dyDescent="0.35">
      <c r="A22" s="168">
        <v>3</v>
      </c>
      <c r="B22" s="39" t="s">
        <v>420</v>
      </c>
      <c r="D22" s="188"/>
      <c r="E22" s="197">
        <f>SUM(E13:E21)</f>
        <v>0</v>
      </c>
      <c r="F22" s="183"/>
      <c r="G22" s="186"/>
      <c r="H22" s="101"/>
      <c r="I22" s="176"/>
    </row>
    <row r="23" spans="1:9" ht="13.5" thickTop="1" x14ac:dyDescent="0.3">
      <c r="A23" s="168">
        <v>4</v>
      </c>
      <c r="B23" s="39" t="s">
        <v>421</v>
      </c>
      <c r="D23" s="192"/>
      <c r="E23" s="164"/>
      <c r="F23" s="195"/>
      <c r="G23" s="184">
        <f>SUM(G13:G21)</f>
        <v>0</v>
      </c>
      <c r="H23" s="182"/>
      <c r="I23" s="198"/>
    </row>
    <row r="24" spans="1:9" ht="13" x14ac:dyDescent="0.3">
      <c r="A24" s="168" t="s">
        <v>388</v>
      </c>
      <c r="B24" s="39" t="s">
        <v>422</v>
      </c>
      <c r="H24" s="56" t="s">
        <v>388</v>
      </c>
      <c r="I24" s="174">
        <f>I10+E22-G23</f>
        <v>0</v>
      </c>
    </row>
    <row r="25" spans="1:9" ht="13" x14ac:dyDescent="0.3">
      <c r="A25" s="168" t="s">
        <v>89</v>
      </c>
      <c r="B25" s="39" t="s">
        <v>423</v>
      </c>
      <c r="H25" s="56" t="s">
        <v>89</v>
      </c>
      <c r="I25" s="647"/>
    </row>
    <row r="26" spans="1:9" ht="13" x14ac:dyDescent="0.3">
      <c r="A26" s="168" t="s">
        <v>133</v>
      </c>
      <c r="B26" s="39" t="s">
        <v>424</v>
      </c>
      <c r="H26" s="56" t="s">
        <v>133</v>
      </c>
      <c r="I26" s="174">
        <f>SUM(I24:I25)</f>
        <v>0</v>
      </c>
    </row>
    <row r="27" spans="1:9" ht="13" x14ac:dyDescent="0.3">
      <c r="A27" s="168" t="s">
        <v>425</v>
      </c>
      <c r="B27" s="39" t="s">
        <v>426</v>
      </c>
      <c r="G27" s="101">
        <v>0</v>
      </c>
      <c r="H27" s="56"/>
      <c r="I27" s="174"/>
    </row>
    <row r="28" spans="1:9" ht="13" x14ac:dyDescent="0.3">
      <c r="A28" s="168" t="s">
        <v>427</v>
      </c>
      <c r="B28" s="39" t="s">
        <v>428</v>
      </c>
      <c r="G28" s="101">
        <v>0</v>
      </c>
      <c r="H28" s="56"/>
      <c r="I28" s="174"/>
    </row>
    <row r="29" spans="1:9" ht="13" x14ac:dyDescent="0.3">
      <c r="A29" s="168" t="s">
        <v>429</v>
      </c>
      <c r="B29" s="39" t="s">
        <v>430</v>
      </c>
      <c r="G29" s="101">
        <v>0</v>
      </c>
      <c r="H29" s="56"/>
      <c r="I29" s="174"/>
    </row>
    <row r="30" spans="1:9" ht="13.5" thickBot="1" x14ac:dyDescent="0.35">
      <c r="A30" s="168" t="s">
        <v>170</v>
      </c>
      <c r="B30" s="39" t="s">
        <v>431</v>
      </c>
      <c r="H30" s="56" t="s">
        <v>170</v>
      </c>
      <c r="I30" s="120" t="e">
        <f>I26/G31</f>
        <v>#DIV/0!</v>
      </c>
    </row>
    <row r="31" spans="1:9" ht="13.5" thickBot="1" x14ac:dyDescent="0.35">
      <c r="A31" s="169"/>
      <c r="B31" s="42"/>
      <c r="C31" s="170"/>
      <c r="D31" s="178" t="s">
        <v>432</v>
      </c>
      <c r="E31" s="170"/>
      <c r="F31" s="171"/>
      <c r="G31" s="179">
        <f>'Basic Information'!C59</f>
        <v>0</v>
      </c>
      <c r="H31" s="172"/>
      <c r="I31" s="177"/>
    </row>
    <row r="32" spans="1:9" x14ac:dyDescent="0.25">
      <c r="A32" s="16"/>
    </row>
  </sheetData>
  <mergeCells count="4">
    <mergeCell ref="A1:I1"/>
    <mergeCell ref="A2:I2"/>
    <mergeCell ref="A3:I3"/>
    <mergeCell ref="A4:I4"/>
  </mergeCells>
  <phoneticPr fontId="0" type="noConversion"/>
  <dataValidations count="1">
    <dataValidation type="list" allowBlank="1" showInputMessage="1" showErrorMessage="1" sqref="C8" xr:uid="{00000000-0002-0000-0800-000000000000}">
      <formula1>#REF!</formula1>
    </dataValidation>
  </dataValidations>
  <pageMargins left="0.74803149606299213" right="0.74803149606299213" top="0.98425196850393704" bottom="0.98425196850393704" header="0.51181102362204722" footer="0.51181102362204722"/>
  <pageSetup paperSize="9" scale="81" orientation="portrait" r:id="rId1"/>
  <headerFooter>
    <oddFooter>&amp;C&amp;8&amp;F/&amp;A_x000D_&amp;D_x000D_&amp;T&amp;R&amp;"Arial,Bold"&amp;8Manager:............._x000D_Senior:................_x000D_Staff:..................._x000D__x000D_&amp;12_x000D_D-120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>
    <tabColor theme="3"/>
    <pageSetUpPr fitToPage="1"/>
  </sheetPr>
  <dimension ref="A1:M53"/>
  <sheetViews>
    <sheetView topLeftCell="A4" zoomScaleNormal="100" workbookViewId="0">
      <selection activeCell="J33" sqref="J33"/>
    </sheetView>
  </sheetViews>
  <sheetFormatPr defaultColWidth="9.7265625" defaultRowHeight="12.5" x14ac:dyDescent="0.25"/>
  <cols>
    <col min="1" max="1" width="3.7265625" style="15" customWidth="1"/>
    <col min="2" max="2" width="65.453125" style="15" customWidth="1"/>
    <col min="3" max="3" width="6.7265625" style="15" customWidth="1"/>
    <col min="4" max="4" width="13.453125" style="15" customWidth="1"/>
    <col min="5" max="5" width="5.1796875" style="15" customWidth="1"/>
    <col min="6" max="6" width="13.26953125" style="15" customWidth="1"/>
    <col min="7" max="7" width="5" style="15" customWidth="1"/>
    <col min="8" max="8" width="13.1796875" style="15" customWidth="1"/>
    <col min="9" max="12" width="9.7265625" style="15"/>
    <col min="13" max="13" width="25.1796875" style="15" customWidth="1"/>
    <col min="14" max="16384" width="9.7265625" style="15"/>
  </cols>
  <sheetData>
    <row r="1" spans="1:13" customFormat="1" ht="13" x14ac:dyDescent="0.3">
      <c r="A1" s="717">
        <f>'Basic Information'!B4</f>
        <v>0</v>
      </c>
      <c r="B1" s="718"/>
      <c r="C1" s="718"/>
      <c r="D1" s="718"/>
      <c r="E1" s="718"/>
      <c r="F1" s="719"/>
      <c r="M1" s="464" t="s">
        <v>308</v>
      </c>
    </row>
    <row r="2" spans="1:13" customFormat="1" x14ac:dyDescent="0.25">
      <c r="A2" s="720" t="s">
        <v>433</v>
      </c>
      <c r="B2" s="721"/>
      <c r="C2" s="721"/>
      <c r="D2" s="721"/>
      <c r="E2" s="721"/>
      <c r="F2" s="722"/>
      <c r="M2" s="464" t="s">
        <v>310</v>
      </c>
    </row>
    <row r="3" spans="1:13" customFormat="1" x14ac:dyDescent="0.25">
      <c r="A3" s="723" t="str">
        <f>'Basic Information'!B1</f>
        <v>12/31/24</v>
      </c>
      <c r="B3" s="721"/>
      <c r="C3" s="721"/>
      <c r="D3" s="721"/>
      <c r="E3" s="721"/>
      <c r="F3" s="722"/>
      <c r="M3" s="464" t="s">
        <v>311</v>
      </c>
    </row>
    <row r="4" spans="1:13" customFormat="1" x14ac:dyDescent="0.25">
      <c r="A4" s="724" t="s">
        <v>80</v>
      </c>
      <c r="B4" s="725"/>
      <c r="C4" s="725"/>
      <c r="D4" s="725"/>
      <c r="E4" s="725"/>
      <c r="F4" s="726"/>
      <c r="M4" s="464" t="s">
        <v>313</v>
      </c>
    </row>
    <row r="5" spans="1:13" customFormat="1" ht="13.5" thickBot="1" x14ac:dyDescent="0.35">
      <c r="A5" s="552"/>
      <c r="B5" s="553"/>
      <c r="C5" s="553"/>
      <c r="D5" s="553"/>
      <c r="E5" s="553"/>
      <c r="F5" s="554"/>
      <c r="M5" s="464" t="s">
        <v>314</v>
      </c>
    </row>
    <row r="6" spans="1:13" customFormat="1" ht="13.5" thickBot="1" x14ac:dyDescent="0.35">
      <c r="A6" s="365"/>
      <c r="B6" s="166"/>
      <c r="C6" s="166"/>
      <c r="D6" s="366"/>
      <c r="E6" s="367"/>
      <c r="F6" s="366"/>
      <c r="M6" s="464" t="s">
        <v>315</v>
      </c>
    </row>
    <row r="7" spans="1:13" customFormat="1" ht="13.5" thickBot="1" x14ac:dyDescent="0.35">
      <c r="A7" s="727" t="s">
        <v>434</v>
      </c>
      <c r="B7" s="728"/>
      <c r="C7" s="729"/>
      <c r="D7" s="371"/>
      <c r="E7" s="372"/>
      <c r="F7" s="371"/>
    </row>
    <row r="8" spans="1:13" ht="12.65" customHeight="1" x14ac:dyDescent="0.3">
      <c r="A8" s="365"/>
      <c r="B8" s="166"/>
      <c r="C8" s="194" t="s">
        <v>43</v>
      </c>
      <c r="D8" s="374"/>
      <c r="E8" s="369"/>
    </row>
    <row r="9" spans="1:13" ht="26" x14ac:dyDescent="0.3">
      <c r="A9" s="373" t="s">
        <v>87</v>
      </c>
      <c r="B9" s="68" t="s">
        <v>435</v>
      </c>
      <c r="C9" s="370"/>
      <c r="D9" s="647"/>
    </row>
    <row r="10" spans="1:13" ht="13" x14ac:dyDescent="0.3">
      <c r="A10" s="373" t="s">
        <v>89</v>
      </c>
      <c r="B10" s="39" t="s">
        <v>436</v>
      </c>
      <c r="C10" s="39"/>
      <c r="D10" s="648"/>
    </row>
    <row r="11" spans="1:13" ht="26" x14ac:dyDescent="0.3">
      <c r="A11" s="373" t="s">
        <v>133</v>
      </c>
      <c r="B11" s="68" t="s">
        <v>437</v>
      </c>
      <c r="C11" s="39"/>
      <c r="D11" s="648"/>
    </row>
    <row r="12" spans="1:13" ht="26" x14ac:dyDescent="0.3">
      <c r="A12" s="373" t="s">
        <v>170</v>
      </c>
      <c r="B12" s="68" t="s">
        <v>438</v>
      </c>
      <c r="C12" s="39"/>
      <c r="D12" s="648"/>
    </row>
    <row r="13" spans="1:13" ht="13" x14ac:dyDescent="0.3">
      <c r="A13" s="373" t="s">
        <v>190</v>
      </c>
      <c r="B13" s="39" t="s">
        <v>439</v>
      </c>
      <c r="C13" s="437"/>
      <c r="D13" s="422">
        <f>'Worksheet A'!F90</f>
        <v>0</v>
      </c>
    </row>
    <row r="14" spans="1:13" ht="13" x14ac:dyDescent="0.3">
      <c r="A14" s="373" t="s">
        <v>193</v>
      </c>
      <c r="B14" s="39" t="s">
        <v>440</v>
      </c>
      <c r="C14" s="437"/>
      <c r="D14" s="422">
        <f>'Worksheet A'!F20</f>
        <v>0</v>
      </c>
    </row>
    <row r="15" spans="1:13" ht="13" x14ac:dyDescent="0.3">
      <c r="A15" s="373" t="s">
        <v>208</v>
      </c>
      <c r="B15" s="39" t="s">
        <v>441</v>
      </c>
      <c r="C15" s="437"/>
      <c r="D15" s="422">
        <f>'Worksheet A'!F21</f>
        <v>0</v>
      </c>
    </row>
    <row r="16" spans="1:13" ht="13" x14ac:dyDescent="0.3">
      <c r="A16" s="373" t="s">
        <v>210</v>
      </c>
      <c r="B16" s="39" t="s">
        <v>442</v>
      </c>
      <c r="C16" s="437"/>
      <c r="D16" s="649"/>
    </row>
    <row r="17" spans="1:4" ht="13" x14ac:dyDescent="0.3">
      <c r="A17" s="373" t="s">
        <v>51</v>
      </c>
      <c r="B17" s="39" t="s">
        <v>443</v>
      </c>
      <c r="C17" s="437"/>
      <c r="D17" s="422">
        <f>'Worksheet B'!F33</f>
        <v>0</v>
      </c>
    </row>
    <row r="18" spans="1:4" ht="13" x14ac:dyDescent="0.3">
      <c r="A18" s="373" t="s">
        <v>52</v>
      </c>
      <c r="B18" s="39" t="s">
        <v>444</v>
      </c>
      <c r="C18" s="370"/>
      <c r="D18" s="648"/>
    </row>
    <row r="19" spans="1:4" ht="13" x14ac:dyDescent="0.3">
      <c r="A19" s="373" t="s">
        <v>53</v>
      </c>
      <c r="B19" s="39" t="s">
        <v>445</v>
      </c>
      <c r="C19" s="39"/>
      <c r="D19" s="647"/>
    </row>
    <row r="20" spans="1:4" ht="13" x14ac:dyDescent="0.3">
      <c r="A20" s="373" t="s">
        <v>388</v>
      </c>
      <c r="B20" s="39" t="s">
        <v>446</v>
      </c>
      <c r="C20" s="39"/>
      <c r="D20" s="647"/>
    </row>
    <row r="21" spans="1:4" ht="13" x14ac:dyDescent="0.3">
      <c r="A21" s="373" t="s">
        <v>447</v>
      </c>
      <c r="B21" s="39" t="s">
        <v>448</v>
      </c>
      <c r="C21" s="39"/>
      <c r="D21" s="647"/>
    </row>
    <row r="22" spans="1:4" ht="13" x14ac:dyDescent="0.3">
      <c r="A22" s="373" t="s">
        <v>449</v>
      </c>
      <c r="B22" s="39" t="s">
        <v>450</v>
      </c>
      <c r="C22" s="39"/>
      <c r="D22" s="647"/>
    </row>
    <row r="23" spans="1:4" ht="13" x14ac:dyDescent="0.3">
      <c r="A23" s="373" t="s">
        <v>451</v>
      </c>
      <c r="B23" s="39" t="s">
        <v>452</v>
      </c>
      <c r="C23" s="39"/>
      <c r="D23" s="647"/>
    </row>
    <row r="24" spans="1:4" ht="13" x14ac:dyDescent="0.3">
      <c r="A24" s="373" t="s">
        <v>453</v>
      </c>
      <c r="B24" s="39" t="s">
        <v>454</v>
      </c>
      <c r="C24" s="39"/>
      <c r="D24" s="647"/>
    </row>
    <row r="25" spans="1:4" ht="13" x14ac:dyDescent="0.3">
      <c r="A25" s="373" t="s">
        <v>55</v>
      </c>
      <c r="B25" s="39" t="s">
        <v>455</v>
      </c>
      <c r="C25" s="39"/>
      <c r="D25" s="650"/>
    </row>
    <row r="26" spans="1:4" ht="13.5" thickBot="1" x14ac:dyDescent="0.35">
      <c r="A26" s="368"/>
      <c r="B26" s="42"/>
      <c r="C26" s="42"/>
      <c r="D26" s="375"/>
    </row>
    <row r="28" spans="1:4" ht="13" thickBot="1" x14ac:dyDescent="0.3"/>
    <row r="29" spans="1:4" ht="13" thickBot="1" x14ac:dyDescent="0.3">
      <c r="B29" s="466" t="s">
        <v>316</v>
      </c>
    </row>
    <row r="30" spans="1:4" ht="13" thickBot="1" x14ac:dyDescent="0.3">
      <c r="B30" s="636" t="s">
        <v>315</v>
      </c>
    </row>
    <row r="31" spans="1:4" ht="13" thickBot="1" x14ac:dyDescent="0.3"/>
    <row r="32" spans="1:4" ht="13.5" thickBot="1" x14ac:dyDescent="0.35">
      <c r="A32" s="667" t="s">
        <v>456</v>
      </c>
      <c r="B32" s="668"/>
      <c r="C32" s="669"/>
      <c r="D32" s="371"/>
    </row>
    <row r="33" spans="1:11" ht="13" x14ac:dyDescent="0.3">
      <c r="A33" s="365"/>
      <c r="B33" s="166"/>
      <c r="C33" s="289" t="s">
        <v>43</v>
      </c>
      <c r="D33" s="388" t="s">
        <v>300</v>
      </c>
      <c r="E33" s="289" t="s">
        <v>43</v>
      </c>
      <c r="F33" s="388" t="s">
        <v>305</v>
      </c>
      <c r="G33" s="289" t="s">
        <v>43</v>
      </c>
      <c r="H33" s="389" t="s">
        <v>301</v>
      </c>
    </row>
    <row r="34" spans="1:11" ht="13" x14ac:dyDescent="0.3">
      <c r="A34" s="373" t="s">
        <v>50</v>
      </c>
      <c r="B34" s="68" t="s">
        <v>457</v>
      </c>
      <c r="C34" s="438"/>
      <c r="D34" s="476">
        <f>'Income Statement'!J25-'Income Statement'!J19</f>
        <v>0</v>
      </c>
      <c r="E34" s="385"/>
      <c r="F34" s="386"/>
      <c r="G34" s="385"/>
      <c r="H34" s="386"/>
    </row>
    <row r="35" spans="1:11" ht="13" x14ac:dyDescent="0.3">
      <c r="A35" s="373" t="s">
        <v>51</v>
      </c>
      <c r="B35" s="39" t="s">
        <v>458</v>
      </c>
      <c r="C35" s="384"/>
      <c r="D35" s="380"/>
      <c r="E35" s="378"/>
      <c r="F35" s="381"/>
      <c r="G35" s="378"/>
      <c r="H35" s="381"/>
    </row>
    <row r="36" spans="1:11" ht="13" x14ac:dyDescent="0.3">
      <c r="A36" s="373" t="s">
        <v>152</v>
      </c>
      <c r="B36" s="39" t="s">
        <v>459</v>
      </c>
      <c r="C36" s="378"/>
      <c r="D36" s="651"/>
      <c r="E36" s="378"/>
      <c r="F36" s="381"/>
      <c r="G36" s="378"/>
      <c r="H36" s="381"/>
    </row>
    <row r="37" spans="1:11" ht="13" x14ac:dyDescent="0.3">
      <c r="A37" s="373" t="s">
        <v>89</v>
      </c>
      <c r="B37" s="39" t="s">
        <v>460</v>
      </c>
      <c r="C37" s="377"/>
      <c r="D37" s="652"/>
      <c r="E37" s="377"/>
      <c r="F37" s="382"/>
      <c r="G37" s="377"/>
      <c r="H37" s="382"/>
    </row>
    <row r="38" spans="1:11" ht="13" x14ac:dyDescent="0.3">
      <c r="A38" s="373" t="s">
        <v>133</v>
      </c>
      <c r="B38" s="39" t="s">
        <v>461</v>
      </c>
      <c r="C38" s="377"/>
      <c r="D38" s="652"/>
      <c r="E38" s="377"/>
      <c r="F38" s="382"/>
      <c r="G38" s="377"/>
      <c r="H38" s="382"/>
    </row>
    <row r="39" spans="1:11" ht="13" x14ac:dyDescent="0.3">
      <c r="A39" s="373" t="s">
        <v>170</v>
      </c>
      <c r="B39" s="39" t="s">
        <v>462</v>
      </c>
      <c r="C39" s="377"/>
      <c r="D39" s="652"/>
      <c r="E39" s="377"/>
      <c r="F39" s="382"/>
      <c r="G39" s="377"/>
      <c r="H39" s="382"/>
    </row>
    <row r="40" spans="1:11" ht="13" x14ac:dyDescent="0.3">
      <c r="A40" s="373" t="s">
        <v>190</v>
      </c>
      <c r="B40" s="39" t="s">
        <v>463</v>
      </c>
      <c r="C40" s="378"/>
      <c r="D40" s="651"/>
      <c r="E40" s="378"/>
      <c r="F40" s="381"/>
      <c r="G40" s="378"/>
      <c r="H40" s="381"/>
    </row>
    <row r="41" spans="1:11" ht="13" x14ac:dyDescent="0.3">
      <c r="A41" s="373" t="s">
        <v>52</v>
      </c>
      <c r="B41" s="39" t="s">
        <v>464</v>
      </c>
      <c r="C41" s="378"/>
      <c r="D41" s="299">
        <f>SUM(D36:D40)</f>
        <v>0</v>
      </c>
      <c r="E41" s="378"/>
      <c r="F41" s="381"/>
      <c r="G41" s="378"/>
      <c r="H41" s="381"/>
      <c r="J41" s="17" t="s">
        <v>465</v>
      </c>
    </row>
    <row r="42" spans="1:11" ht="13" x14ac:dyDescent="0.3">
      <c r="A42" s="373" t="s">
        <v>53</v>
      </c>
      <c r="B42" s="39" t="s">
        <v>466</v>
      </c>
      <c r="C42" s="378"/>
      <c r="D42" s="299">
        <f>D34-D41</f>
        <v>0</v>
      </c>
      <c r="E42" s="378"/>
      <c r="F42" s="381"/>
      <c r="G42" s="378"/>
      <c r="H42" s="381"/>
      <c r="J42" s="550" t="e">
        <f>+H45/(H44+H45)</f>
        <v>#DIV/0!</v>
      </c>
      <c r="K42" s="15" t="s">
        <v>467</v>
      </c>
    </row>
    <row r="43" spans="1:11" ht="13" x14ac:dyDescent="0.3">
      <c r="A43" s="373" t="s">
        <v>54</v>
      </c>
      <c r="B43" s="39" t="s">
        <v>468</v>
      </c>
      <c r="C43" s="438"/>
      <c r="D43" s="299">
        <f>'Income Statement'!J59</f>
        <v>0</v>
      </c>
      <c r="E43" s="387"/>
      <c r="F43" s="383"/>
      <c r="G43" s="387"/>
      <c r="H43" s="383"/>
    </row>
    <row r="44" spans="1:11" ht="13" x14ac:dyDescent="0.3">
      <c r="A44" s="373" t="s">
        <v>55</v>
      </c>
      <c r="B44" s="39" t="s">
        <v>469</v>
      </c>
      <c r="C44" s="378"/>
      <c r="D44" s="299">
        <f>D42-D43</f>
        <v>0</v>
      </c>
      <c r="E44" s="378"/>
      <c r="F44" s="390">
        <f>'Income Statement'!$L$5</f>
        <v>0</v>
      </c>
      <c r="G44" s="378"/>
      <c r="H44" s="473" t="e">
        <f>ROUND(D44/F44,0)</f>
        <v>#DIV/0!</v>
      </c>
    </row>
    <row r="45" spans="1:11" ht="13" x14ac:dyDescent="0.3">
      <c r="A45" s="373" t="s">
        <v>56</v>
      </c>
      <c r="B45" s="39" t="s">
        <v>470</v>
      </c>
      <c r="C45" s="438"/>
      <c r="D45" s="299">
        <f>IF(D44&lt;0,0,'Schedule E &amp; E-1'!U21)</f>
        <v>0</v>
      </c>
      <c r="E45" s="378"/>
      <c r="F45" s="390">
        <f>'Income Statement'!$L$5</f>
        <v>0</v>
      </c>
      <c r="G45" s="378"/>
      <c r="H45" s="473" t="e">
        <f>ROUND(D45/F45,0)</f>
        <v>#DIV/0!</v>
      </c>
    </row>
    <row r="46" spans="1:11" ht="13" x14ac:dyDescent="0.3">
      <c r="A46" s="373" t="s">
        <v>57</v>
      </c>
      <c r="B46" s="39" t="s">
        <v>471</v>
      </c>
      <c r="C46" s="378"/>
      <c r="D46" s="651"/>
      <c r="E46" s="378"/>
      <c r="F46" s="390">
        <f>'Income Statement'!$L$5</f>
        <v>0</v>
      </c>
      <c r="G46" s="378"/>
      <c r="H46" s="473" t="e">
        <f>ROUND(D46/F46,0)</f>
        <v>#DIV/0!</v>
      </c>
    </row>
    <row r="47" spans="1:11" ht="13" x14ac:dyDescent="0.3">
      <c r="A47" s="373" t="s">
        <v>157</v>
      </c>
      <c r="B47" s="39" t="s">
        <v>472</v>
      </c>
      <c r="C47" s="438"/>
      <c r="D47" s="299">
        <f>'Income Statement'!J29</f>
        <v>0</v>
      </c>
      <c r="E47" s="378"/>
      <c r="F47" s="390">
        <f>'Income Statement'!$L$5</f>
        <v>0</v>
      </c>
      <c r="G47" s="378"/>
      <c r="H47" s="473" t="e">
        <f>ROUND(D47/F47,0)</f>
        <v>#DIV/0!</v>
      </c>
    </row>
    <row r="48" spans="1:11" ht="13" x14ac:dyDescent="0.3">
      <c r="A48" s="373" t="s">
        <v>89</v>
      </c>
      <c r="B48" s="39" t="s">
        <v>473</v>
      </c>
      <c r="C48" s="378"/>
      <c r="D48" s="651"/>
      <c r="E48" s="378"/>
      <c r="F48" s="382"/>
      <c r="G48" s="378"/>
      <c r="H48" s="474"/>
    </row>
    <row r="49" spans="1:8" ht="13" x14ac:dyDescent="0.3">
      <c r="A49" s="373" t="s">
        <v>133</v>
      </c>
      <c r="B49" s="39" t="s">
        <v>474</v>
      </c>
      <c r="C49" s="378"/>
      <c r="D49" s="651"/>
      <c r="E49" s="378"/>
      <c r="F49" s="382"/>
      <c r="G49" s="378"/>
      <c r="H49" s="474"/>
    </row>
    <row r="50" spans="1:8" ht="13" x14ac:dyDescent="0.3">
      <c r="A50" s="373" t="s">
        <v>170</v>
      </c>
      <c r="B50" s="39" t="s">
        <v>475</v>
      </c>
      <c r="C50" s="378"/>
      <c r="D50" s="101">
        <f>IF(D47-(D48+D49) &lt; 0, 0, D47-(D48+D49))</f>
        <v>0</v>
      </c>
      <c r="E50" s="378"/>
      <c r="F50" s="390">
        <f>'Income Statement'!$L$5</f>
        <v>0</v>
      </c>
      <c r="G50" s="378"/>
      <c r="H50" s="473" t="e">
        <f>ROUND(D50/F50,0)</f>
        <v>#DIV/0!</v>
      </c>
    </row>
    <row r="51" spans="1:8" ht="13" x14ac:dyDescent="0.3">
      <c r="A51" s="373" t="s">
        <v>270</v>
      </c>
      <c r="B51" s="39" t="s">
        <v>476</v>
      </c>
      <c r="C51" s="438"/>
      <c r="D51" s="39">
        <f>'Income Statement'!J15</f>
        <v>0</v>
      </c>
      <c r="E51" s="378"/>
      <c r="F51" s="472"/>
      <c r="G51" s="378"/>
      <c r="H51" s="475"/>
    </row>
    <row r="52" spans="1:8" ht="13" x14ac:dyDescent="0.3">
      <c r="A52" s="373" t="s">
        <v>89</v>
      </c>
      <c r="B52" s="39" t="s">
        <v>477</v>
      </c>
      <c r="C52" s="378"/>
      <c r="D52" s="651"/>
      <c r="E52" s="378"/>
      <c r="F52" s="472"/>
      <c r="G52" s="378"/>
      <c r="H52" s="475"/>
    </row>
    <row r="53" spans="1:8" ht="13.5" thickBot="1" x14ac:dyDescent="0.35">
      <c r="A53" s="471" t="s">
        <v>133</v>
      </c>
      <c r="B53" s="42" t="s">
        <v>478</v>
      </c>
      <c r="C53" s="379"/>
      <c r="D53" s="42">
        <f>IF(D51-D52&lt;0,0,D51-D52)</f>
        <v>0</v>
      </c>
      <c r="E53" s="379"/>
      <c r="F53" s="477">
        <f>'Income Statement'!$L$5</f>
        <v>0</v>
      </c>
      <c r="G53" s="379"/>
      <c r="H53" s="491" t="e">
        <f>ROUND(D53/F53,0)</f>
        <v>#DIV/0!</v>
      </c>
    </row>
  </sheetData>
  <mergeCells count="6">
    <mergeCell ref="A1:F1"/>
    <mergeCell ref="A7:C7"/>
    <mergeCell ref="A32:C32"/>
    <mergeCell ref="A2:F2"/>
    <mergeCell ref="A4:F4"/>
    <mergeCell ref="A3:F3"/>
  </mergeCells>
  <dataValidations count="1">
    <dataValidation type="list" allowBlank="1" showInputMessage="1" showErrorMessage="1" sqref="B30" xr:uid="{00000000-0002-0000-0900-000000000000}">
      <formula1>$M$1:$M$6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>
    <tabColor theme="3"/>
    <pageSetUpPr fitToPage="1"/>
  </sheetPr>
  <dimension ref="A1:AH49"/>
  <sheetViews>
    <sheetView zoomScaleNormal="100" workbookViewId="0"/>
  </sheetViews>
  <sheetFormatPr defaultColWidth="9.7265625" defaultRowHeight="12.5" x14ac:dyDescent="0.25"/>
  <cols>
    <col min="1" max="1" width="3.54296875" style="15" customWidth="1"/>
    <col min="2" max="2" width="6.54296875" style="15" bestFit="1" customWidth="1"/>
    <col min="3" max="3" width="51.1796875" style="15" customWidth="1"/>
    <col min="4" max="4" width="6.54296875" style="15" bestFit="1" customWidth="1"/>
    <col min="5" max="5" width="6" style="15" customWidth="1"/>
    <col min="6" max="6" width="16.54296875" style="15" customWidth="1"/>
    <col min="7" max="7" width="5.1796875" style="15" customWidth="1"/>
    <col min="8" max="8" width="16.54296875" style="15" customWidth="1"/>
    <col min="9" max="9" width="5.1796875" style="15" customWidth="1"/>
    <col min="10" max="10" width="16.54296875" style="15" customWidth="1"/>
    <col min="11" max="11" width="5.1796875" style="15" customWidth="1"/>
    <col min="12" max="12" width="16.54296875" style="15" customWidth="1"/>
    <col min="13" max="13" width="5.1796875" style="15" customWidth="1"/>
    <col min="14" max="14" width="16.81640625" style="15" customWidth="1"/>
    <col min="15" max="15" width="5.1796875" style="15" customWidth="1"/>
    <col min="16" max="16" width="13.81640625" style="15" customWidth="1"/>
    <col min="17" max="17" width="5.1796875" style="15" customWidth="1"/>
    <col min="18" max="18" width="16.54296875" style="15" customWidth="1"/>
    <col min="19" max="19" width="5.1796875" style="15" customWidth="1"/>
    <col min="20" max="20" width="12.453125" style="15" customWidth="1"/>
    <col min="21" max="21" width="5.1796875" style="15" customWidth="1"/>
    <col min="22" max="22" width="16.54296875" style="15" customWidth="1"/>
    <col min="23" max="23" width="5.1796875" style="15" customWidth="1"/>
    <col min="24" max="24" width="16.81640625" style="15" customWidth="1"/>
    <col min="25" max="25" width="5.1796875" style="15" customWidth="1"/>
    <col min="26" max="26" width="13.81640625" style="15" customWidth="1"/>
    <col min="27" max="27" width="5.1796875" style="15" customWidth="1"/>
    <col min="28" max="28" width="16" style="15" customWidth="1"/>
    <col min="29" max="29" width="5.1796875" style="15" customWidth="1"/>
    <col min="30" max="30" width="16.7265625" style="15" customWidth="1"/>
    <col min="31" max="31" width="5.1796875" style="15" customWidth="1"/>
    <col min="32" max="32" width="14.453125" style="15" customWidth="1"/>
    <col min="33" max="33" width="5.1796875" style="15" customWidth="1"/>
    <col min="34" max="34" width="16.54296875" style="15" customWidth="1"/>
    <col min="35" max="16384" width="9.7265625" style="15"/>
  </cols>
  <sheetData>
    <row r="1" spans="1:34" customFormat="1" ht="13" x14ac:dyDescent="0.3">
      <c r="B1" s="717">
        <f>'Basic Information'!B4</f>
        <v>0</v>
      </c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9"/>
      <c r="N1" s="464" t="s">
        <v>308</v>
      </c>
      <c r="X1" s="464" t="s">
        <v>308</v>
      </c>
    </row>
    <row r="2" spans="1:34" customFormat="1" x14ac:dyDescent="0.25">
      <c r="B2" s="720" t="s">
        <v>479</v>
      </c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2"/>
      <c r="N2" s="464" t="s">
        <v>310</v>
      </c>
      <c r="X2" s="464" t="s">
        <v>310</v>
      </c>
    </row>
    <row r="3" spans="1:34" customFormat="1" x14ac:dyDescent="0.25">
      <c r="B3" s="723" t="str">
        <f>'Basic Information'!B1</f>
        <v>12/31/24</v>
      </c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2"/>
      <c r="N3" s="464" t="s">
        <v>311</v>
      </c>
      <c r="X3" s="464" t="s">
        <v>311</v>
      </c>
    </row>
    <row r="4" spans="1:34" customFormat="1" x14ac:dyDescent="0.25">
      <c r="B4" s="724" t="s">
        <v>312</v>
      </c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6"/>
      <c r="N4" s="464" t="s">
        <v>313</v>
      </c>
    </row>
    <row r="5" spans="1:34" customFormat="1" ht="13.5" thickBot="1" x14ac:dyDescent="0.35">
      <c r="B5" s="552"/>
      <c r="C5" s="557"/>
      <c r="D5" s="558"/>
      <c r="E5" s="558"/>
      <c r="F5" s="553"/>
      <c r="G5" s="553"/>
      <c r="H5" s="553"/>
      <c r="I5" s="553"/>
      <c r="J5" s="553"/>
      <c r="K5" s="559"/>
      <c r="L5" s="559"/>
      <c r="M5" s="560"/>
      <c r="N5" s="464" t="s">
        <v>314</v>
      </c>
    </row>
    <row r="6" spans="1:34" customFormat="1" ht="4.5" customHeight="1" x14ac:dyDescent="0.25">
      <c r="N6" s="464" t="s">
        <v>315</v>
      </c>
    </row>
    <row r="7" spans="1:34" customFormat="1" x14ac:dyDescent="0.25"/>
    <row r="8" spans="1:34" customFormat="1" ht="13" thickBot="1" x14ac:dyDescent="0.3"/>
    <row r="9" spans="1:34" customFormat="1" ht="13" thickBot="1" x14ac:dyDescent="0.3">
      <c r="C9" s="466" t="s">
        <v>316</v>
      </c>
    </row>
    <row r="10" spans="1:34" customFormat="1" ht="13" thickBot="1" x14ac:dyDescent="0.3">
      <c r="C10" s="555" t="s">
        <v>315</v>
      </c>
    </row>
    <row r="11" spans="1:34" customFormat="1" x14ac:dyDescent="0.25"/>
    <row r="12" spans="1:34" customFormat="1" ht="13" thickBot="1" x14ac:dyDescent="0.3">
      <c r="A12" s="483" t="s">
        <v>480</v>
      </c>
    </row>
    <row r="13" spans="1:34" customFormat="1" ht="15.75" customHeight="1" x14ac:dyDescent="0.3">
      <c r="B13" s="48"/>
      <c r="C13" s="713" t="s">
        <v>481</v>
      </c>
      <c r="D13" s="291"/>
      <c r="E13" s="289"/>
      <c r="F13" s="297" t="s">
        <v>320</v>
      </c>
      <c r="G13" s="292"/>
      <c r="H13" s="297" t="s">
        <v>321</v>
      </c>
      <c r="I13" s="292"/>
      <c r="J13" s="301" t="s">
        <v>322</v>
      </c>
      <c r="K13" s="292"/>
      <c r="L13" s="292" t="s">
        <v>323</v>
      </c>
      <c r="M13" s="710" t="s">
        <v>362</v>
      </c>
      <c r="N13" s="711"/>
      <c r="O13" s="711"/>
      <c r="P13" s="711"/>
      <c r="Q13" s="711"/>
      <c r="R13" s="711"/>
      <c r="S13" s="711"/>
      <c r="T13" s="711"/>
      <c r="U13" s="711"/>
      <c r="V13" s="711"/>
      <c r="W13" s="710" t="s">
        <v>363</v>
      </c>
      <c r="X13" s="711"/>
      <c r="Y13" s="711"/>
      <c r="Z13" s="711"/>
      <c r="AA13" s="711"/>
      <c r="AB13" s="711"/>
      <c r="AC13" s="711"/>
      <c r="AD13" s="711"/>
      <c r="AE13" s="711"/>
      <c r="AF13" s="711"/>
      <c r="AG13" s="292"/>
      <c r="AH13" s="293" t="s">
        <v>325</v>
      </c>
    </row>
    <row r="14" spans="1:34" customFormat="1" ht="46.5" customHeight="1" x14ac:dyDescent="0.3">
      <c r="B14" s="294"/>
      <c r="C14" s="714"/>
      <c r="D14" s="290"/>
      <c r="E14" s="302" t="s">
        <v>43</v>
      </c>
      <c r="F14" s="309" t="s">
        <v>482</v>
      </c>
      <c r="G14" s="302" t="s">
        <v>43</v>
      </c>
      <c r="H14" s="309" t="s">
        <v>365</v>
      </c>
      <c r="I14" s="302" t="s">
        <v>43</v>
      </c>
      <c r="J14" s="309" t="s">
        <v>366</v>
      </c>
      <c r="K14" s="302" t="s">
        <v>43</v>
      </c>
      <c r="L14" s="310" t="s">
        <v>367</v>
      </c>
      <c r="M14" s="307" t="s">
        <v>43</v>
      </c>
      <c r="N14" s="469" t="s">
        <v>483</v>
      </c>
      <c r="O14" s="302" t="s">
        <v>43</v>
      </c>
      <c r="P14" s="469" t="s">
        <v>484</v>
      </c>
      <c r="Q14" s="302" t="s">
        <v>43</v>
      </c>
      <c r="R14" s="469" t="s">
        <v>370</v>
      </c>
      <c r="S14" s="302" t="s">
        <v>43</v>
      </c>
      <c r="T14" s="469" t="s">
        <v>371</v>
      </c>
      <c r="U14" s="302" t="s">
        <v>43</v>
      </c>
      <c r="V14" s="503" t="s">
        <v>372</v>
      </c>
      <c r="W14" s="307" t="s">
        <v>43</v>
      </c>
      <c r="X14" s="469" t="s">
        <v>373</v>
      </c>
      <c r="Y14" s="302" t="s">
        <v>43</v>
      </c>
      <c r="Z14" s="469" t="s">
        <v>374</v>
      </c>
      <c r="AA14" s="302" t="s">
        <v>43</v>
      </c>
      <c r="AB14" s="469" t="s">
        <v>375</v>
      </c>
      <c r="AC14" s="302" t="s">
        <v>43</v>
      </c>
      <c r="AD14" s="469" t="s">
        <v>376</v>
      </c>
      <c r="AE14" s="302" t="s">
        <v>43</v>
      </c>
      <c r="AF14" s="469" t="s">
        <v>377</v>
      </c>
      <c r="AG14" s="304" t="s">
        <v>43</v>
      </c>
      <c r="AH14" s="311" t="s">
        <v>485</v>
      </c>
    </row>
    <row r="15" spans="1:34" ht="13" x14ac:dyDescent="0.3">
      <c r="A15" s="484" t="s">
        <v>87</v>
      </c>
      <c r="B15" s="53" t="s">
        <v>87</v>
      </c>
      <c r="C15" s="39" t="s">
        <v>378</v>
      </c>
      <c r="D15" s="67" t="s">
        <v>87</v>
      </c>
      <c r="E15" s="67"/>
      <c r="F15" s="640"/>
      <c r="G15" s="56"/>
      <c r="H15" s="563"/>
      <c r="I15" s="56"/>
      <c r="J15" s="562"/>
      <c r="K15" s="56"/>
      <c r="L15" s="564"/>
      <c r="M15" s="168"/>
      <c r="N15" s="563"/>
      <c r="O15" s="56"/>
      <c r="P15" s="563"/>
      <c r="Q15" s="56"/>
      <c r="R15" s="562"/>
      <c r="S15" s="56"/>
      <c r="T15" s="563"/>
      <c r="U15" s="56"/>
      <c r="V15" s="567"/>
      <c r="W15" s="168"/>
      <c r="X15" s="563"/>
      <c r="Y15" s="56"/>
      <c r="Z15" s="563"/>
      <c r="AA15" s="56"/>
      <c r="AB15" s="563"/>
      <c r="AC15" s="56"/>
      <c r="AD15" s="563"/>
      <c r="AE15" s="56"/>
      <c r="AF15" s="563"/>
      <c r="AG15" s="56"/>
      <c r="AH15" s="59">
        <f t="shared" ref="AH15:AH20" si="0">SUM(F15:AF15)</f>
        <v>0</v>
      </c>
    </row>
    <row r="16" spans="1:34" ht="13" x14ac:dyDescent="0.3">
      <c r="A16" s="484" t="s">
        <v>486</v>
      </c>
      <c r="B16" s="61" t="s">
        <v>486</v>
      </c>
      <c r="C16" s="62" t="s">
        <v>379</v>
      </c>
      <c r="D16" s="295" t="s">
        <v>486</v>
      </c>
      <c r="E16" s="295"/>
      <c r="F16" s="298">
        <f>SUM(F17:F19)</f>
        <v>0</v>
      </c>
      <c r="G16" s="66"/>
      <c r="H16" s="298">
        <f>SUM(H17:H19)</f>
        <v>0</v>
      </c>
      <c r="I16" s="66"/>
      <c r="J16" s="298">
        <f>SUM(J17:J19)</f>
        <v>0</v>
      </c>
      <c r="K16" s="66"/>
      <c r="L16" s="65">
        <f>SUM(L17:L19)</f>
        <v>0</v>
      </c>
      <c r="M16" s="308"/>
      <c r="N16" s="298">
        <f>SUM(N17:N19)</f>
        <v>0</v>
      </c>
      <c r="O16" s="66"/>
      <c r="P16" s="298">
        <f>SUM(P17:P19)</f>
        <v>0</v>
      </c>
      <c r="Q16" s="66"/>
      <c r="R16" s="298">
        <f>SUM(R17:R19)</f>
        <v>0</v>
      </c>
      <c r="S16" s="66"/>
      <c r="T16" s="298">
        <f>SUM(T17:T19)</f>
        <v>0</v>
      </c>
      <c r="U16" s="66"/>
      <c r="V16" s="65">
        <f>SUM(V17:V19)</f>
        <v>0</v>
      </c>
      <c r="W16" s="308"/>
      <c r="X16" s="298">
        <f>SUM(X17:X19)</f>
        <v>0</v>
      </c>
      <c r="Y16" s="66"/>
      <c r="Z16" s="298">
        <f>SUM(Z17:Z19)</f>
        <v>0</v>
      </c>
      <c r="AA16" s="66"/>
      <c r="AB16" s="298">
        <f>SUM(AB17:AB19)</f>
        <v>0</v>
      </c>
      <c r="AC16" s="66"/>
      <c r="AD16" s="298">
        <f>SUM(AD17:AD19)</f>
        <v>0</v>
      </c>
      <c r="AE16" s="66"/>
      <c r="AF16" s="298">
        <f>SUM(AF17:AF19)</f>
        <v>0</v>
      </c>
      <c r="AG16" s="66"/>
      <c r="AH16" s="313">
        <f t="shared" si="0"/>
        <v>0</v>
      </c>
    </row>
    <row r="17" spans="1:34" ht="13" x14ac:dyDescent="0.3">
      <c r="A17" s="484"/>
      <c r="B17" s="53"/>
      <c r="C17" s="99" t="s">
        <v>380</v>
      </c>
      <c r="D17" s="67"/>
      <c r="E17" s="67"/>
      <c r="F17" s="565"/>
      <c r="G17" s="56"/>
      <c r="H17" s="565"/>
      <c r="I17" s="56"/>
      <c r="J17" s="565"/>
      <c r="K17" s="56"/>
      <c r="L17" s="566"/>
      <c r="M17" s="168"/>
      <c r="N17" s="565"/>
      <c r="O17" s="56"/>
      <c r="P17" s="565"/>
      <c r="Q17" s="56"/>
      <c r="R17" s="565"/>
      <c r="S17" s="56"/>
      <c r="T17" s="565"/>
      <c r="U17" s="56"/>
      <c r="V17" s="566"/>
      <c r="W17" s="168"/>
      <c r="X17" s="565"/>
      <c r="Y17" s="56"/>
      <c r="Z17" s="565"/>
      <c r="AA17" s="56"/>
      <c r="AB17" s="565"/>
      <c r="AC17" s="56"/>
      <c r="AD17" s="565"/>
      <c r="AE17" s="56"/>
      <c r="AF17" s="565"/>
      <c r="AG17" s="56"/>
      <c r="AH17" s="479">
        <f t="shared" si="0"/>
        <v>0</v>
      </c>
    </row>
    <row r="18" spans="1:34" ht="13" x14ac:dyDescent="0.3">
      <c r="A18" s="484"/>
      <c r="B18" s="53"/>
      <c r="C18" s="99" t="s">
        <v>381</v>
      </c>
      <c r="D18" s="67"/>
      <c r="E18" s="67"/>
      <c r="F18" s="565"/>
      <c r="G18" s="56"/>
      <c r="H18" s="565"/>
      <c r="I18" s="56"/>
      <c r="J18" s="565"/>
      <c r="K18" s="56"/>
      <c r="L18" s="566"/>
      <c r="M18" s="168"/>
      <c r="N18" s="565"/>
      <c r="O18" s="56"/>
      <c r="P18" s="565"/>
      <c r="Q18" s="56"/>
      <c r="R18" s="565"/>
      <c r="S18" s="56"/>
      <c r="T18" s="565"/>
      <c r="U18" s="56"/>
      <c r="V18" s="566"/>
      <c r="W18" s="168"/>
      <c r="X18" s="565"/>
      <c r="Y18" s="56"/>
      <c r="Z18" s="565"/>
      <c r="AA18" s="56"/>
      <c r="AB18" s="565"/>
      <c r="AC18" s="56"/>
      <c r="AD18" s="565"/>
      <c r="AE18" s="56"/>
      <c r="AF18" s="565"/>
      <c r="AG18" s="56"/>
      <c r="AH18" s="59">
        <f t="shared" si="0"/>
        <v>0</v>
      </c>
    </row>
    <row r="19" spans="1:34" ht="13" x14ac:dyDescent="0.3">
      <c r="A19" s="484"/>
      <c r="B19" s="53"/>
      <c r="C19" s="99" t="s">
        <v>382</v>
      </c>
      <c r="D19" s="67"/>
      <c r="E19" s="67"/>
      <c r="F19" s="565"/>
      <c r="G19" s="56"/>
      <c r="H19" s="565"/>
      <c r="I19" s="56"/>
      <c r="J19" s="565"/>
      <c r="K19" s="56"/>
      <c r="L19" s="566"/>
      <c r="M19" s="168"/>
      <c r="N19" s="565"/>
      <c r="O19" s="56"/>
      <c r="P19" s="565"/>
      <c r="Q19" s="56"/>
      <c r="R19" s="565"/>
      <c r="S19" s="56"/>
      <c r="T19" s="565"/>
      <c r="U19" s="56"/>
      <c r="V19" s="566"/>
      <c r="W19" s="168"/>
      <c r="X19" s="565"/>
      <c r="Y19" s="56"/>
      <c r="Z19" s="565"/>
      <c r="AA19" s="56"/>
      <c r="AB19" s="565"/>
      <c r="AC19" s="56"/>
      <c r="AD19" s="565"/>
      <c r="AE19" s="56"/>
      <c r="AF19" s="565"/>
      <c r="AG19" s="56"/>
      <c r="AH19" s="59">
        <f t="shared" si="0"/>
        <v>0</v>
      </c>
    </row>
    <row r="20" spans="1:34" ht="13" x14ac:dyDescent="0.3">
      <c r="A20" s="484" t="s">
        <v>487</v>
      </c>
      <c r="B20" s="53" t="s">
        <v>487</v>
      </c>
      <c r="C20" s="39" t="s">
        <v>383</v>
      </c>
      <c r="D20" s="67" t="s">
        <v>487</v>
      </c>
      <c r="E20" s="67"/>
      <c r="F20" s="299">
        <f>F15+F16</f>
        <v>0</v>
      </c>
      <c r="G20" s="56"/>
      <c r="H20" s="299">
        <f>H15+H16</f>
        <v>0</v>
      </c>
      <c r="I20" s="56"/>
      <c r="J20" s="299">
        <f>J15+J16</f>
        <v>0</v>
      </c>
      <c r="K20" s="56"/>
      <c r="L20" s="101">
        <f>L15+L16</f>
        <v>0</v>
      </c>
      <c r="M20" s="168"/>
      <c r="N20" s="299">
        <f>N15+N16</f>
        <v>0</v>
      </c>
      <c r="O20" s="56"/>
      <c r="P20" s="299">
        <f>P15+P16</f>
        <v>0</v>
      </c>
      <c r="Q20" s="56"/>
      <c r="R20" s="299">
        <f>R15+R16</f>
        <v>0</v>
      </c>
      <c r="S20" s="56"/>
      <c r="T20" s="299">
        <f>T15+T16</f>
        <v>0</v>
      </c>
      <c r="U20" s="56"/>
      <c r="V20" s="101">
        <f>V15+V16</f>
        <v>0</v>
      </c>
      <c r="W20" s="168"/>
      <c r="X20" s="299">
        <f>X15+X16</f>
        <v>0</v>
      </c>
      <c r="Y20" s="56"/>
      <c r="Z20" s="299">
        <f>Z15+Z16</f>
        <v>0</v>
      </c>
      <c r="AA20" s="56"/>
      <c r="AB20" s="299">
        <f>AB15+AB16</f>
        <v>0</v>
      </c>
      <c r="AC20" s="56"/>
      <c r="AD20" s="299">
        <f>AD15+AD16</f>
        <v>0</v>
      </c>
      <c r="AE20" s="56"/>
      <c r="AF20" s="299">
        <f>AF15+AF16</f>
        <v>0</v>
      </c>
      <c r="AG20" s="56"/>
      <c r="AH20" s="313">
        <f t="shared" si="0"/>
        <v>0</v>
      </c>
    </row>
    <row r="21" spans="1:34" ht="13" x14ac:dyDescent="0.3">
      <c r="A21" s="484">
        <v>2</v>
      </c>
      <c r="B21" s="53" t="s">
        <v>488</v>
      </c>
      <c r="C21" s="68" t="s">
        <v>489</v>
      </c>
      <c r="D21" s="67" t="s">
        <v>488</v>
      </c>
      <c r="E21" s="67"/>
      <c r="F21" s="565"/>
      <c r="G21" s="56"/>
      <c r="H21" s="565"/>
      <c r="I21" s="56"/>
      <c r="J21" s="565"/>
      <c r="K21" s="56"/>
      <c r="L21" s="566"/>
      <c r="M21" s="168"/>
      <c r="N21" s="565"/>
      <c r="O21" s="56"/>
      <c r="P21" s="565"/>
      <c r="Q21" s="56"/>
      <c r="R21" s="565"/>
      <c r="S21" s="56"/>
      <c r="T21" s="565"/>
      <c r="U21" s="56"/>
      <c r="V21" s="566"/>
      <c r="W21" s="168"/>
      <c r="X21" s="565"/>
      <c r="Y21" s="56"/>
      <c r="Z21" s="565"/>
      <c r="AA21" s="56"/>
      <c r="AB21" s="565"/>
      <c r="AC21" s="56"/>
      <c r="AD21" s="565"/>
      <c r="AE21" s="56"/>
      <c r="AF21" s="565"/>
      <c r="AG21" s="325"/>
      <c r="AH21" s="316"/>
    </row>
    <row r="22" spans="1:34" ht="26" x14ac:dyDescent="0.3">
      <c r="A22" s="484"/>
      <c r="B22" s="53" t="s">
        <v>490</v>
      </c>
      <c r="C22" s="68" t="s">
        <v>491</v>
      </c>
      <c r="D22" s="67" t="s">
        <v>490</v>
      </c>
      <c r="E22" s="282"/>
      <c r="F22" s="331"/>
      <c r="G22" s="332"/>
      <c r="H22" s="331"/>
      <c r="I22" s="325"/>
      <c r="J22" s="324"/>
      <c r="K22" s="56"/>
      <c r="L22" s="566"/>
      <c r="M22" s="322"/>
      <c r="N22" s="324"/>
      <c r="O22" s="325"/>
      <c r="P22" s="324"/>
      <c r="Q22" s="325"/>
      <c r="R22" s="324"/>
      <c r="S22" s="325"/>
      <c r="T22" s="324"/>
      <c r="U22" s="325"/>
      <c r="V22" s="504"/>
      <c r="W22" s="322"/>
      <c r="X22" s="324"/>
      <c r="Y22" s="325"/>
      <c r="Z22" s="324"/>
      <c r="AA22" s="325"/>
      <c r="AB22" s="324"/>
      <c r="AC22" s="325"/>
      <c r="AD22" s="324"/>
      <c r="AE22" s="325"/>
      <c r="AF22" s="324"/>
      <c r="AG22" s="318"/>
      <c r="AH22" s="315"/>
    </row>
    <row r="23" spans="1:34" ht="13" x14ac:dyDescent="0.3">
      <c r="A23" s="484"/>
      <c r="B23" s="53">
        <v>3</v>
      </c>
      <c r="C23" s="39" t="s">
        <v>492</v>
      </c>
      <c r="D23" s="67">
        <v>3</v>
      </c>
      <c r="E23" s="67"/>
      <c r="F23" s="299">
        <f>'Sch - H'!I26-'Schedule J'!H23</f>
        <v>0</v>
      </c>
      <c r="G23" s="56"/>
      <c r="H23" s="565"/>
      <c r="I23" s="318"/>
      <c r="J23" s="317"/>
      <c r="K23" s="329"/>
      <c r="L23" s="326"/>
      <c r="M23" s="320"/>
      <c r="N23" s="334"/>
      <c r="O23" s="333"/>
      <c r="P23" s="334"/>
      <c r="Q23" s="333"/>
      <c r="R23" s="334"/>
      <c r="S23" s="333"/>
      <c r="T23" s="334"/>
      <c r="U23" s="333"/>
      <c r="V23" s="335"/>
      <c r="W23" s="320"/>
      <c r="X23" s="334"/>
      <c r="Y23" s="333"/>
      <c r="Z23" s="334"/>
      <c r="AA23" s="333"/>
      <c r="AB23" s="334"/>
      <c r="AC23" s="333"/>
      <c r="AD23" s="334"/>
      <c r="AE23" s="333"/>
      <c r="AF23" s="334"/>
      <c r="AG23" s="333"/>
      <c r="AH23" s="319"/>
    </row>
    <row r="24" spans="1:34" ht="13" x14ac:dyDescent="0.3">
      <c r="A24" s="484">
        <v>3</v>
      </c>
      <c r="B24" s="53">
        <v>4</v>
      </c>
      <c r="C24" s="39" t="s">
        <v>493</v>
      </c>
      <c r="D24" s="67">
        <v>4</v>
      </c>
      <c r="E24" s="282"/>
      <c r="F24" s="331"/>
      <c r="G24" s="332"/>
      <c r="H24" s="331"/>
      <c r="I24" s="333"/>
      <c r="J24" s="334"/>
      <c r="K24" s="333"/>
      <c r="L24" s="335"/>
      <c r="M24" s="168"/>
      <c r="N24" s="565"/>
      <c r="O24" s="56"/>
      <c r="P24" s="565"/>
      <c r="Q24" s="56"/>
      <c r="R24" s="565"/>
      <c r="S24" s="56"/>
      <c r="T24" s="565"/>
      <c r="U24" s="56"/>
      <c r="V24" s="566"/>
      <c r="W24" s="168"/>
      <c r="X24" s="565"/>
      <c r="Y24" s="56"/>
      <c r="Z24" s="565"/>
      <c r="AA24" s="56"/>
      <c r="AB24" s="565"/>
      <c r="AC24" s="56"/>
      <c r="AD24" s="565"/>
      <c r="AE24" s="56"/>
      <c r="AF24" s="565"/>
      <c r="AG24" s="56"/>
      <c r="AH24" s="59">
        <f>SUM(M24:AF24)</f>
        <v>0</v>
      </c>
    </row>
    <row r="25" spans="1:34" ht="13" x14ac:dyDescent="0.3">
      <c r="A25" s="484">
        <v>4</v>
      </c>
      <c r="B25" s="53" t="s">
        <v>388</v>
      </c>
      <c r="C25" s="39" t="s">
        <v>494</v>
      </c>
      <c r="D25" s="67" t="s">
        <v>388</v>
      </c>
      <c r="E25" s="67"/>
      <c r="F25" s="563"/>
      <c r="G25" s="56"/>
      <c r="H25" s="563"/>
      <c r="I25" s="56"/>
      <c r="J25" s="563"/>
      <c r="K25" s="56"/>
      <c r="L25" s="564"/>
      <c r="M25" s="168"/>
      <c r="N25" s="563"/>
      <c r="O25" s="56"/>
      <c r="P25" s="563"/>
      <c r="Q25" s="56"/>
      <c r="R25" s="563"/>
      <c r="S25" s="56"/>
      <c r="T25" s="563"/>
      <c r="U25" s="56"/>
      <c r="V25" s="564"/>
      <c r="W25" s="168"/>
      <c r="X25" s="563"/>
      <c r="Y25" s="56"/>
      <c r="Z25" s="563"/>
      <c r="AA25" s="56"/>
      <c r="AB25" s="563"/>
      <c r="AC25" s="56"/>
      <c r="AD25" s="563"/>
      <c r="AE25" s="56"/>
      <c r="AF25" s="563"/>
      <c r="AG25" s="325"/>
      <c r="AH25" s="323"/>
    </row>
    <row r="26" spans="1:34" ht="26" x14ac:dyDescent="0.3">
      <c r="A26" s="484"/>
      <c r="B26" s="53" t="s">
        <v>447</v>
      </c>
      <c r="C26" s="68" t="s">
        <v>495</v>
      </c>
      <c r="D26" s="67" t="s">
        <v>447</v>
      </c>
      <c r="E26" s="67"/>
      <c r="F26" s="563"/>
      <c r="G26" s="37"/>
      <c r="H26" s="563"/>
      <c r="I26" s="56"/>
      <c r="J26" s="563"/>
      <c r="K26" s="37"/>
      <c r="L26" s="564"/>
      <c r="M26" s="284"/>
      <c r="N26" s="330"/>
      <c r="O26" s="337"/>
      <c r="P26" s="330"/>
      <c r="Q26" s="332"/>
      <c r="R26" s="330"/>
      <c r="S26" s="337"/>
      <c r="T26" s="330"/>
      <c r="U26" s="332"/>
      <c r="V26" s="502"/>
      <c r="W26" s="506"/>
      <c r="X26" s="330"/>
      <c r="Y26" s="337"/>
      <c r="Z26" s="330"/>
      <c r="AA26" s="337"/>
      <c r="AB26" s="330"/>
      <c r="AC26" s="337"/>
      <c r="AD26" s="330"/>
      <c r="AE26" s="337"/>
      <c r="AF26" s="330"/>
      <c r="AG26" s="478"/>
      <c r="AH26" s="314"/>
    </row>
    <row r="27" spans="1:34" ht="13" x14ac:dyDescent="0.3">
      <c r="A27" s="484">
        <v>5</v>
      </c>
      <c r="B27" s="61">
        <v>6</v>
      </c>
      <c r="C27" s="62" t="s">
        <v>496</v>
      </c>
      <c r="D27" s="295">
        <v>6</v>
      </c>
      <c r="E27" s="295"/>
      <c r="F27" s="298">
        <f>SUM(F28:F30)</f>
        <v>0</v>
      </c>
      <c r="G27" s="66"/>
      <c r="H27" s="298">
        <f>SUM(H28:H30)</f>
        <v>0</v>
      </c>
      <c r="I27" s="66"/>
      <c r="J27" s="298">
        <f>SUM(J28:J30)</f>
        <v>0</v>
      </c>
      <c r="K27" s="66"/>
      <c r="L27" s="65">
        <f>SUM(L28:L30)</f>
        <v>0</v>
      </c>
      <c r="M27" s="308"/>
      <c r="N27" s="298">
        <f>SUM(N28:N30)</f>
        <v>0</v>
      </c>
      <c r="O27" s="66"/>
      <c r="P27" s="298">
        <f>SUM(P28:P30)</f>
        <v>0</v>
      </c>
      <c r="Q27" s="66"/>
      <c r="R27" s="298">
        <f>SUM(R28:R30)</f>
        <v>0</v>
      </c>
      <c r="S27" s="66"/>
      <c r="T27" s="298">
        <f>SUM(T28:T30)</f>
        <v>0</v>
      </c>
      <c r="U27" s="66"/>
      <c r="V27" s="65">
        <f>SUM(V28:V30)</f>
        <v>0</v>
      </c>
      <c r="W27" s="308"/>
      <c r="X27" s="298">
        <f>SUM(X28:X30)</f>
        <v>0</v>
      </c>
      <c r="Y27" s="66"/>
      <c r="Z27" s="298">
        <f>SUM(Z28:Z30)</f>
        <v>0</v>
      </c>
      <c r="AA27" s="66"/>
      <c r="AB27" s="298">
        <f>SUM(AB28:AB30)</f>
        <v>0</v>
      </c>
      <c r="AC27" s="66"/>
      <c r="AD27" s="298">
        <f>SUM(AD28:AD30)</f>
        <v>0</v>
      </c>
      <c r="AE27" s="66"/>
      <c r="AF27" s="298">
        <f>SUM(AF28:AF30)</f>
        <v>0</v>
      </c>
      <c r="AG27" s="333"/>
      <c r="AH27" s="319"/>
    </row>
    <row r="28" spans="1:34" ht="13" x14ac:dyDescent="0.3">
      <c r="A28" s="484"/>
      <c r="B28" s="53"/>
      <c r="C28" s="99" t="s">
        <v>393</v>
      </c>
      <c r="D28" s="67"/>
      <c r="E28" s="67"/>
      <c r="F28" s="565"/>
      <c r="G28" s="56"/>
      <c r="H28" s="565"/>
      <c r="I28" s="56"/>
      <c r="J28" s="565"/>
      <c r="K28" s="56"/>
      <c r="L28" s="566"/>
      <c r="M28" s="168"/>
      <c r="N28" s="565"/>
      <c r="O28" s="56"/>
      <c r="P28" s="565"/>
      <c r="Q28" s="56"/>
      <c r="R28" s="565"/>
      <c r="S28" s="56"/>
      <c r="T28" s="565"/>
      <c r="U28" s="56"/>
      <c r="V28" s="566"/>
      <c r="W28" s="168"/>
      <c r="X28" s="565"/>
      <c r="Y28" s="56"/>
      <c r="Z28" s="565"/>
      <c r="AA28" s="56"/>
      <c r="AB28" s="565"/>
      <c r="AC28" s="56"/>
      <c r="AD28" s="565"/>
      <c r="AE28" s="56"/>
      <c r="AF28" s="565"/>
      <c r="AG28" s="318"/>
      <c r="AH28" s="314"/>
    </row>
    <row r="29" spans="1:34" ht="13" x14ac:dyDescent="0.3">
      <c r="A29" s="484"/>
      <c r="B29" s="53"/>
      <c r="C29" s="99" t="s">
        <v>394</v>
      </c>
      <c r="D29" s="67"/>
      <c r="E29" s="67"/>
      <c r="F29" s="565"/>
      <c r="G29" s="56"/>
      <c r="H29" s="565"/>
      <c r="I29" s="56"/>
      <c r="J29" s="565"/>
      <c r="K29" s="56"/>
      <c r="L29" s="566"/>
      <c r="M29" s="168"/>
      <c r="N29" s="565"/>
      <c r="O29" s="56"/>
      <c r="P29" s="565"/>
      <c r="Q29" s="56"/>
      <c r="R29" s="565"/>
      <c r="S29" s="56"/>
      <c r="T29" s="565"/>
      <c r="U29" s="56"/>
      <c r="V29" s="566"/>
      <c r="W29" s="168"/>
      <c r="X29" s="565"/>
      <c r="Y29" s="56"/>
      <c r="Z29" s="565"/>
      <c r="AA29" s="56"/>
      <c r="AB29" s="565"/>
      <c r="AC29" s="56"/>
      <c r="AD29" s="565"/>
      <c r="AE29" s="56"/>
      <c r="AF29" s="565"/>
      <c r="AG29" s="318"/>
      <c r="AH29" s="314"/>
    </row>
    <row r="30" spans="1:34" ht="13" x14ac:dyDescent="0.3">
      <c r="A30" s="484"/>
      <c r="B30" s="53"/>
      <c r="C30" s="99" t="s">
        <v>395</v>
      </c>
      <c r="D30" s="67"/>
      <c r="E30" s="67"/>
      <c r="F30" s="565"/>
      <c r="G30" s="56"/>
      <c r="H30" s="565"/>
      <c r="I30" s="56"/>
      <c r="J30" s="565"/>
      <c r="K30" s="56"/>
      <c r="L30" s="566"/>
      <c r="M30" s="168"/>
      <c r="N30" s="565"/>
      <c r="O30" s="56"/>
      <c r="P30" s="565"/>
      <c r="Q30" s="56"/>
      <c r="R30" s="565"/>
      <c r="S30" s="56"/>
      <c r="T30" s="565"/>
      <c r="U30" s="56"/>
      <c r="V30" s="566"/>
      <c r="W30" s="168"/>
      <c r="X30" s="565"/>
      <c r="Y30" s="56"/>
      <c r="Z30" s="565"/>
      <c r="AA30" s="56"/>
      <c r="AB30" s="565"/>
      <c r="AC30" s="56"/>
      <c r="AD30" s="565"/>
      <c r="AE30" s="56"/>
      <c r="AF30" s="565"/>
      <c r="AG30" s="318"/>
      <c r="AH30" s="314"/>
    </row>
    <row r="31" spans="1:34" ht="13" x14ac:dyDescent="0.3">
      <c r="A31" s="484">
        <v>6</v>
      </c>
      <c r="B31" s="53">
        <v>7</v>
      </c>
      <c r="C31" s="39" t="s">
        <v>497</v>
      </c>
      <c r="D31" s="67">
        <v>7</v>
      </c>
      <c r="E31" s="67"/>
      <c r="F31" s="299">
        <f>SUM(F20:F27)</f>
        <v>0</v>
      </c>
      <c r="G31" s="56"/>
      <c r="H31" s="299">
        <f>SUM(H20:H27)</f>
        <v>0</v>
      </c>
      <c r="I31" s="56"/>
      <c r="J31" s="299">
        <f>SUM(J20:J27)</f>
        <v>0</v>
      </c>
      <c r="K31" s="56"/>
      <c r="L31" s="101">
        <f>SUM(L20:L27)</f>
        <v>0</v>
      </c>
      <c r="M31" s="168"/>
      <c r="N31" s="299">
        <f>SUM(N20:N27)</f>
        <v>0</v>
      </c>
      <c r="O31" s="56"/>
      <c r="P31" s="299">
        <f>SUM(P20:P27)</f>
        <v>0</v>
      </c>
      <c r="Q31" s="56"/>
      <c r="R31" s="299">
        <f>SUM(R20:R27)</f>
        <v>0</v>
      </c>
      <c r="S31" s="56"/>
      <c r="T31" s="299">
        <f>SUM(T20:T27)</f>
        <v>0</v>
      </c>
      <c r="U31" s="56"/>
      <c r="V31" s="101">
        <f>SUM(V20:V27)</f>
        <v>0</v>
      </c>
      <c r="W31" s="168"/>
      <c r="X31" s="299">
        <f>SUM(X20:X27)</f>
        <v>0</v>
      </c>
      <c r="Y31" s="56"/>
      <c r="Z31" s="299">
        <f>SUM(Z20:Z27)</f>
        <v>0</v>
      </c>
      <c r="AA31" s="56"/>
      <c r="AB31" s="299">
        <f>SUM(AB20:AB27)</f>
        <v>0</v>
      </c>
      <c r="AC31" s="56"/>
      <c r="AD31" s="299">
        <f>SUM(AD20:AD27)</f>
        <v>0</v>
      </c>
      <c r="AE31" s="56"/>
      <c r="AF31" s="299">
        <f>SUM(AF20:AF27)</f>
        <v>0</v>
      </c>
      <c r="AG31" s="318"/>
      <c r="AH31" s="314"/>
    </row>
    <row r="32" spans="1:34" ht="13" x14ac:dyDescent="0.3">
      <c r="A32" s="484">
        <v>7</v>
      </c>
      <c r="B32" s="53">
        <v>8</v>
      </c>
      <c r="C32" s="39" t="s">
        <v>498</v>
      </c>
      <c r="D32" s="67">
        <v>8</v>
      </c>
      <c r="E32" s="67"/>
      <c r="F32" s="563"/>
      <c r="G32" s="56"/>
      <c r="H32" s="563"/>
      <c r="I32" s="56"/>
      <c r="J32" s="563"/>
      <c r="K32" s="325"/>
      <c r="L32" s="328"/>
      <c r="M32" s="284"/>
      <c r="N32" s="330"/>
      <c r="O32" s="332"/>
      <c r="P32" s="330"/>
      <c r="Q32" s="332"/>
      <c r="R32" s="330"/>
      <c r="S32" s="332"/>
      <c r="T32" s="330"/>
      <c r="U32" s="332"/>
      <c r="V32" s="502"/>
      <c r="W32" s="168"/>
      <c r="X32" s="563"/>
      <c r="Y32" s="56"/>
      <c r="Z32" s="563"/>
      <c r="AA32" s="56"/>
      <c r="AB32" s="563"/>
      <c r="AC32" s="56"/>
      <c r="AD32" s="563"/>
      <c r="AE32" s="56"/>
      <c r="AF32" s="563"/>
      <c r="AG32" s="318"/>
      <c r="AH32" s="314"/>
    </row>
    <row r="33" spans="1:34" ht="13" x14ac:dyDescent="0.3">
      <c r="A33" s="484">
        <v>8</v>
      </c>
      <c r="B33" s="53">
        <v>9</v>
      </c>
      <c r="C33" s="39" t="s">
        <v>499</v>
      </c>
      <c r="D33" s="67">
        <v>9</v>
      </c>
      <c r="E33" s="67"/>
      <c r="F33" s="563"/>
      <c r="G33" s="56"/>
      <c r="H33" s="563"/>
      <c r="I33" s="56"/>
      <c r="J33" s="563"/>
      <c r="K33" s="318"/>
      <c r="L33" s="321"/>
      <c r="M33" s="168"/>
      <c r="N33" s="563"/>
      <c r="O33" s="56"/>
      <c r="P33" s="563"/>
      <c r="Q33" s="56"/>
      <c r="R33" s="563"/>
      <c r="S33" s="56"/>
      <c r="T33" s="563"/>
      <c r="U33" s="56"/>
      <c r="V33" s="564"/>
      <c r="W33" s="168"/>
      <c r="X33" s="563"/>
      <c r="Y33" s="56"/>
      <c r="Z33" s="563"/>
      <c r="AA33" s="56"/>
      <c r="AB33" s="563"/>
      <c r="AC33" s="56"/>
      <c r="AD33" s="563"/>
      <c r="AE33" s="56"/>
      <c r="AF33" s="563"/>
      <c r="AG33" s="318"/>
      <c r="AH33" s="314"/>
    </row>
    <row r="34" spans="1:34" ht="13" x14ac:dyDescent="0.3">
      <c r="A34" s="484">
        <v>9</v>
      </c>
      <c r="B34" s="53">
        <v>10</v>
      </c>
      <c r="C34" s="39" t="s">
        <v>500</v>
      </c>
      <c r="D34" s="67">
        <v>10</v>
      </c>
      <c r="E34" s="282"/>
      <c r="F34" s="330"/>
      <c r="G34" s="332"/>
      <c r="H34" s="330"/>
      <c r="I34" s="332"/>
      <c r="J34" s="330"/>
      <c r="K34" s="318"/>
      <c r="L34" s="321"/>
      <c r="M34" s="168"/>
      <c r="N34" s="563"/>
      <c r="O34" s="56"/>
      <c r="P34" s="563"/>
      <c r="Q34" s="56"/>
      <c r="R34" s="563"/>
      <c r="S34" s="56"/>
      <c r="T34" s="563"/>
      <c r="U34" s="56"/>
      <c r="V34" s="564"/>
      <c r="W34" s="168"/>
      <c r="X34" s="563"/>
      <c r="Y34" s="56"/>
      <c r="Z34" s="563"/>
      <c r="AA34" s="56"/>
      <c r="AB34" s="563"/>
      <c r="AC34" s="56"/>
      <c r="AD34" s="563"/>
      <c r="AE34" s="56"/>
      <c r="AF34" s="563"/>
      <c r="AG34" s="318"/>
      <c r="AH34" s="314"/>
    </row>
    <row r="35" spans="1:34" ht="26" x14ac:dyDescent="0.3">
      <c r="A35" s="484">
        <v>10</v>
      </c>
      <c r="B35" s="53">
        <v>11</v>
      </c>
      <c r="C35" s="68" t="s">
        <v>501</v>
      </c>
      <c r="D35" s="67">
        <v>11</v>
      </c>
      <c r="E35" s="67"/>
      <c r="F35" s="563"/>
      <c r="G35" s="56"/>
      <c r="H35" s="563"/>
      <c r="I35" s="56"/>
      <c r="J35" s="563"/>
      <c r="K35" s="333"/>
      <c r="L35" s="339"/>
      <c r="M35" s="168"/>
      <c r="N35" s="330"/>
      <c r="O35" s="282"/>
      <c r="P35" s="330"/>
      <c r="Q35" s="56"/>
      <c r="R35" s="563"/>
      <c r="S35" s="332"/>
      <c r="T35" s="330"/>
      <c r="U35" s="332"/>
      <c r="V35" s="502"/>
      <c r="W35" s="284"/>
      <c r="X35" s="330"/>
      <c r="Y35" s="282"/>
      <c r="Z35" s="330"/>
      <c r="AA35" s="282"/>
      <c r="AB35" s="330"/>
      <c r="AC35" s="332"/>
      <c r="AD35" s="330"/>
      <c r="AE35" s="332"/>
      <c r="AF35" s="330"/>
      <c r="AG35" s="318"/>
      <c r="AH35" s="314"/>
    </row>
    <row r="36" spans="1:34" ht="13" x14ac:dyDescent="0.3">
      <c r="A36" s="484">
        <v>11</v>
      </c>
      <c r="B36" s="61">
        <v>12</v>
      </c>
      <c r="C36" s="62" t="s">
        <v>502</v>
      </c>
      <c r="D36" s="295">
        <v>12</v>
      </c>
      <c r="E36" s="295"/>
      <c r="F36" s="298">
        <f>SUM(F37:F39)</f>
        <v>0</v>
      </c>
      <c r="G36" s="66"/>
      <c r="H36" s="298">
        <f>SUM(H37:H39)</f>
        <v>0</v>
      </c>
      <c r="I36" s="66"/>
      <c r="J36" s="298">
        <f>SUM(J37:J39)</f>
        <v>0</v>
      </c>
      <c r="K36" s="66"/>
      <c r="L36" s="65">
        <f>SUM(L37:L39)</f>
        <v>0</v>
      </c>
      <c r="M36" s="308"/>
      <c r="N36" s="298">
        <f>SUM(N37:N39)</f>
        <v>0</v>
      </c>
      <c r="O36" s="66"/>
      <c r="P36" s="298">
        <f>SUM(P37:P39)</f>
        <v>0</v>
      </c>
      <c r="Q36" s="66"/>
      <c r="R36" s="298">
        <f>SUM(R37:R39)</f>
        <v>0</v>
      </c>
      <c r="S36" s="66"/>
      <c r="T36" s="298">
        <f>SUM(T37:T39)</f>
        <v>0</v>
      </c>
      <c r="U36" s="66"/>
      <c r="V36" s="65">
        <f>SUM(V37:V39)</f>
        <v>0</v>
      </c>
      <c r="W36" s="308"/>
      <c r="X36" s="298">
        <f>SUM(X37:X39)</f>
        <v>0</v>
      </c>
      <c r="Y36" s="66"/>
      <c r="Z36" s="298">
        <f>SUM(Z37:Z39)</f>
        <v>0</v>
      </c>
      <c r="AA36" s="66"/>
      <c r="AB36" s="298">
        <f>SUM(AB37:AB39)</f>
        <v>0</v>
      </c>
      <c r="AC36" s="66"/>
      <c r="AD36" s="298">
        <f>SUM(AD37:AD39)</f>
        <v>0</v>
      </c>
      <c r="AE36" s="66"/>
      <c r="AF36" s="298">
        <f>SUM(AF37:AF39)</f>
        <v>0</v>
      </c>
      <c r="AG36" s="333"/>
      <c r="AH36" s="319"/>
    </row>
    <row r="37" spans="1:34" ht="13" x14ac:dyDescent="0.3">
      <c r="A37" s="484"/>
      <c r="B37" s="53"/>
      <c r="C37" s="99" t="s">
        <v>393</v>
      </c>
      <c r="D37" s="67"/>
      <c r="E37" s="67"/>
      <c r="F37" s="565"/>
      <c r="G37" s="56"/>
      <c r="H37" s="565"/>
      <c r="I37" s="56"/>
      <c r="J37" s="565"/>
      <c r="K37" s="56"/>
      <c r="L37" s="566"/>
      <c r="M37" s="168"/>
      <c r="N37" s="565"/>
      <c r="O37" s="56"/>
      <c r="P37" s="565"/>
      <c r="Q37" s="56"/>
      <c r="R37" s="565"/>
      <c r="S37" s="56"/>
      <c r="T37" s="565"/>
      <c r="U37" s="56"/>
      <c r="V37" s="566"/>
      <c r="W37" s="168"/>
      <c r="X37" s="565"/>
      <c r="Y37" s="56"/>
      <c r="Z37" s="565"/>
      <c r="AA37" s="56"/>
      <c r="AB37" s="565"/>
      <c r="AC37" s="56"/>
      <c r="AD37" s="565"/>
      <c r="AE37" s="56"/>
      <c r="AF37" s="565"/>
      <c r="AG37" s="318"/>
      <c r="AH37" s="314"/>
    </row>
    <row r="38" spans="1:34" ht="13" x14ac:dyDescent="0.3">
      <c r="A38" s="484"/>
      <c r="B38" s="53"/>
      <c r="C38" s="99" t="s">
        <v>394</v>
      </c>
      <c r="D38" s="67"/>
      <c r="E38" s="67"/>
      <c r="F38" s="565"/>
      <c r="G38" s="56"/>
      <c r="H38" s="565"/>
      <c r="I38" s="56"/>
      <c r="J38" s="565"/>
      <c r="K38" s="56"/>
      <c r="L38" s="566"/>
      <c r="M38" s="168"/>
      <c r="N38" s="565"/>
      <c r="O38" s="56"/>
      <c r="P38" s="565"/>
      <c r="Q38" s="56"/>
      <c r="R38" s="565"/>
      <c r="S38" s="56"/>
      <c r="T38" s="565"/>
      <c r="U38" s="56"/>
      <c r="V38" s="566"/>
      <c r="W38" s="168"/>
      <c r="X38" s="565"/>
      <c r="Y38" s="56"/>
      <c r="Z38" s="565"/>
      <c r="AA38" s="56"/>
      <c r="AB38" s="565"/>
      <c r="AC38" s="56"/>
      <c r="AD38" s="565"/>
      <c r="AE38" s="56"/>
      <c r="AF38" s="565"/>
      <c r="AG38" s="318"/>
      <c r="AH38" s="314"/>
    </row>
    <row r="39" spans="1:34" ht="13" x14ac:dyDescent="0.3">
      <c r="A39" s="484"/>
      <c r="B39" s="53"/>
      <c r="C39" s="99" t="s">
        <v>395</v>
      </c>
      <c r="D39" s="67"/>
      <c r="E39" s="67"/>
      <c r="F39" s="565"/>
      <c r="G39" s="56"/>
      <c r="H39" s="565"/>
      <c r="I39" s="56"/>
      <c r="J39" s="565"/>
      <c r="K39" s="56"/>
      <c r="L39" s="566"/>
      <c r="M39" s="168"/>
      <c r="N39" s="565"/>
      <c r="O39" s="56"/>
      <c r="P39" s="565"/>
      <c r="Q39" s="56"/>
      <c r="R39" s="565"/>
      <c r="S39" s="56"/>
      <c r="T39" s="565"/>
      <c r="U39" s="56"/>
      <c r="V39" s="566"/>
      <c r="W39" s="168"/>
      <c r="X39" s="565"/>
      <c r="Y39" s="56"/>
      <c r="Z39" s="565"/>
      <c r="AA39" s="56"/>
      <c r="AB39" s="565"/>
      <c r="AC39" s="56"/>
      <c r="AD39" s="565"/>
      <c r="AE39" s="56"/>
      <c r="AF39" s="565"/>
      <c r="AG39" s="318"/>
      <c r="AH39" s="314"/>
    </row>
    <row r="40" spans="1:34" ht="13.5" thickBot="1" x14ac:dyDescent="0.35">
      <c r="A40" s="484"/>
      <c r="B40" s="53">
        <v>13</v>
      </c>
      <c r="C40" s="39" t="s">
        <v>503</v>
      </c>
      <c r="D40" s="67">
        <v>13</v>
      </c>
      <c r="E40" s="67"/>
      <c r="F40" s="563"/>
      <c r="G40" s="56"/>
      <c r="H40" s="563"/>
      <c r="I40" s="325"/>
      <c r="J40" s="327"/>
      <c r="K40" s="56"/>
      <c r="L40" s="564"/>
      <c r="M40" s="499"/>
      <c r="N40" s="500"/>
      <c r="O40" s="501"/>
      <c r="P40" s="500"/>
      <c r="Q40" s="501"/>
      <c r="R40" s="500"/>
      <c r="S40" s="501"/>
      <c r="T40" s="500"/>
      <c r="U40" s="501"/>
      <c r="V40" s="505"/>
      <c r="W40" s="499"/>
      <c r="X40" s="500"/>
      <c r="Y40" s="501"/>
      <c r="Z40" s="500"/>
      <c r="AA40" s="501"/>
      <c r="AB40" s="500"/>
      <c r="AC40" s="501"/>
      <c r="AD40" s="500"/>
      <c r="AE40" s="501"/>
      <c r="AF40" s="500"/>
      <c r="AG40" s="482"/>
      <c r="AH40" s="419"/>
    </row>
    <row r="41" spans="1:34" ht="13.5" thickBot="1" x14ac:dyDescent="0.35">
      <c r="A41" s="484"/>
      <c r="B41" s="131">
        <v>14</v>
      </c>
      <c r="C41" s="42" t="s">
        <v>405</v>
      </c>
      <c r="D41" s="286">
        <v>14</v>
      </c>
      <c r="E41" s="296"/>
      <c r="F41" s="300">
        <f>SUM(F31:F36)+F40</f>
        <v>0</v>
      </c>
      <c r="G41" s="287"/>
      <c r="H41" s="300">
        <f>SUM(H31:H36)+H40</f>
        <v>0</v>
      </c>
      <c r="I41" s="287"/>
      <c r="J41" s="300">
        <f>SUM(J31:J36)+J40</f>
        <v>0</v>
      </c>
      <c r="K41" s="287"/>
      <c r="L41" s="288">
        <f>SUM(L31:L36)+L40</f>
        <v>0</v>
      </c>
      <c r="M41" s="296"/>
      <c r="N41" s="300">
        <f>SUM(N31:N36)+N40</f>
        <v>0</v>
      </c>
      <c r="O41" s="287"/>
      <c r="P41" s="300">
        <f>SUM(P31:P36)+P40</f>
        <v>0</v>
      </c>
      <c r="Q41" s="287"/>
      <c r="R41" s="300">
        <f>SUM(R31:R36)+R40</f>
        <v>0</v>
      </c>
      <c r="S41" s="287"/>
      <c r="T41" s="300">
        <f>SUM(T31:T36)+T40</f>
        <v>0</v>
      </c>
      <c r="U41" s="287"/>
      <c r="V41" s="300">
        <f>SUM(V31:V36)+V40</f>
        <v>0</v>
      </c>
      <c r="W41" s="287"/>
      <c r="X41" s="300">
        <f>SUM(X31:X36)+X40</f>
        <v>0</v>
      </c>
      <c r="Y41" s="287"/>
      <c r="Z41" s="300">
        <f>SUM(Z31:Z36)+Z40</f>
        <v>0</v>
      </c>
      <c r="AA41" s="287"/>
      <c r="AB41" s="300">
        <f>SUM(AB31:AB36)+AB40</f>
        <v>0</v>
      </c>
      <c r="AC41" s="287"/>
      <c r="AD41" s="300">
        <f>SUM(AD31:AD36)+AD40</f>
        <v>0</v>
      </c>
      <c r="AE41" s="287"/>
      <c r="AF41" s="300">
        <f>SUM(AF31:AF36)+AF40</f>
        <v>0</v>
      </c>
      <c r="AG41" s="287"/>
      <c r="AH41" s="244">
        <f>SUM(F41:AF41)</f>
        <v>0</v>
      </c>
    </row>
    <row r="43" spans="1:34" ht="13" thickBot="1" x14ac:dyDescent="0.3"/>
    <row r="44" spans="1:34" ht="12.75" customHeight="1" x14ac:dyDescent="0.3">
      <c r="B44" s="340"/>
      <c r="C44" s="713" t="s">
        <v>504</v>
      </c>
      <c r="D44" s="341"/>
      <c r="E44" s="342"/>
      <c r="F44" s="343"/>
    </row>
    <row r="45" spans="1:34" ht="21.75" customHeight="1" x14ac:dyDescent="0.3">
      <c r="B45" s="53"/>
      <c r="C45" s="714"/>
      <c r="D45" s="69"/>
      <c r="E45" s="60"/>
      <c r="F45" s="345"/>
    </row>
    <row r="46" spans="1:34" ht="12.75" customHeight="1" x14ac:dyDescent="0.3">
      <c r="B46" s="53">
        <v>1</v>
      </c>
      <c r="C46" s="39" t="s">
        <v>378</v>
      </c>
      <c r="D46" s="69"/>
      <c r="E46" s="60">
        <v>1</v>
      </c>
      <c r="F46" s="568"/>
    </row>
    <row r="47" spans="1:34" ht="13" x14ac:dyDescent="0.3">
      <c r="B47" s="53">
        <v>2</v>
      </c>
      <c r="C47" s="68" t="s">
        <v>505</v>
      </c>
      <c r="D47" s="69"/>
      <c r="E47" s="60">
        <v>2</v>
      </c>
      <c r="F47" s="568"/>
    </row>
    <row r="48" spans="1:34" ht="13" x14ac:dyDescent="0.3">
      <c r="B48" s="53">
        <v>3</v>
      </c>
      <c r="C48" s="68" t="s">
        <v>506</v>
      </c>
      <c r="D48" s="69"/>
      <c r="E48" s="60">
        <v>3</v>
      </c>
      <c r="F48" s="568"/>
    </row>
    <row r="49" spans="2:6" ht="13.5" thickBot="1" x14ac:dyDescent="0.35">
      <c r="B49" s="131">
        <v>4</v>
      </c>
      <c r="C49" s="132" t="s">
        <v>507</v>
      </c>
      <c r="D49" s="133"/>
      <c r="E49" s="134">
        <v>4</v>
      </c>
      <c r="F49" s="344">
        <f>SUM(F46:F48)</f>
        <v>0</v>
      </c>
    </row>
  </sheetData>
  <mergeCells count="8">
    <mergeCell ref="W13:AF13"/>
    <mergeCell ref="M13:V13"/>
    <mergeCell ref="C13:C14"/>
    <mergeCell ref="C44:C45"/>
    <mergeCell ref="B1:M1"/>
    <mergeCell ref="B2:M2"/>
    <mergeCell ref="B3:M3"/>
    <mergeCell ref="B4:M4"/>
  </mergeCells>
  <phoneticPr fontId="0" type="noConversion"/>
  <dataValidations disablePrompts="1" count="1">
    <dataValidation type="list" allowBlank="1" showInputMessage="1" showErrorMessage="1" sqref="C10" xr:uid="{00000000-0002-0000-0A00-000000000000}">
      <formula1>$N$1:$N$6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>
    <tabColor theme="3"/>
    <pageSetUpPr fitToPage="1"/>
  </sheetPr>
  <dimension ref="A1:M39"/>
  <sheetViews>
    <sheetView topLeftCell="A7" workbookViewId="0">
      <selection activeCell="G15" sqref="G15"/>
    </sheetView>
  </sheetViews>
  <sheetFormatPr defaultColWidth="9.7265625" defaultRowHeight="12.5" x14ac:dyDescent="0.25"/>
  <cols>
    <col min="1" max="1" width="6.54296875" style="15" bestFit="1" customWidth="1"/>
    <col min="2" max="2" width="51.1796875" style="15" customWidth="1"/>
    <col min="3" max="3" width="6.54296875" style="15" bestFit="1" customWidth="1"/>
    <col min="4" max="4" width="6" style="15" customWidth="1"/>
    <col min="5" max="5" width="16.54296875" style="15" customWidth="1"/>
    <col min="6" max="6" width="5.1796875" style="15" customWidth="1"/>
    <col min="7" max="7" width="16.54296875" style="15" customWidth="1"/>
    <col min="8" max="8" width="5.1796875" style="15" customWidth="1"/>
    <col min="9" max="9" width="16.54296875" style="15" customWidth="1"/>
    <col min="10" max="10" width="5.1796875" style="15" customWidth="1"/>
    <col min="11" max="11" width="16.54296875" style="15" customWidth="1"/>
    <col min="12" max="12" width="5.1796875" style="15" customWidth="1"/>
    <col min="13" max="13" width="16.54296875" style="15" customWidth="1"/>
    <col min="14" max="14" width="5.1796875" style="15" customWidth="1"/>
    <col min="15" max="15" width="16.54296875" style="15" customWidth="1"/>
    <col min="16" max="16" width="5.1796875" style="15" customWidth="1"/>
    <col min="17" max="17" width="16.54296875" style="15" customWidth="1"/>
    <col min="18" max="18" width="5.1796875" style="15" customWidth="1"/>
    <col min="19" max="19" width="16.54296875" style="15" customWidth="1"/>
    <col min="20" max="20" width="5.1796875" style="15" customWidth="1"/>
    <col min="21" max="21" width="16.54296875" style="15" customWidth="1"/>
    <col min="22" max="16384" width="9.7265625" style="15"/>
  </cols>
  <sheetData>
    <row r="1" spans="1:13" customFormat="1" ht="13" x14ac:dyDescent="0.3">
      <c r="A1" s="717">
        <f>'Basic Information'!B4</f>
        <v>0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9"/>
    </row>
    <row r="2" spans="1:13" customFormat="1" x14ac:dyDescent="0.25">
      <c r="A2" s="720" t="s">
        <v>508</v>
      </c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2"/>
    </row>
    <row r="3" spans="1:13" customFormat="1" x14ac:dyDescent="0.25">
      <c r="A3" s="723" t="str">
        <f>'Basic Information'!B1</f>
        <v>12/31/24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2"/>
    </row>
    <row r="4" spans="1:13" customFormat="1" x14ac:dyDescent="0.25">
      <c r="A4" s="724" t="s">
        <v>137</v>
      </c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6"/>
    </row>
    <row r="5" spans="1:13" customFormat="1" ht="13.5" thickBot="1" x14ac:dyDescent="0.35">
      <c r="A5" s="552"/>
      <c r="B5" s="557"/>
      <c r="C5" s="553"/>
      <c r="D5" s="558"/>
      <c r="E5" s="553"/>
      <c r="F5" s="553"/>
      <c r="G5" s="553"/>
      <c r="H5" s="553"/>
      <c r="I5" s="553"/>
      <c r="J5" s="559"/>
      <c r="K5" s="559"/>
      <c r="L5" s="560"/>
    </row>
    <row r="6" spans="1:13" customFormat="1" ht="4.5" customHeight="1" x14ac:dyDescent="0.25"/>
    <row r="7" spans="1:13" customFormat="1" ht="13" thickBot="1" x14ac:dyDescent="0.3"/>
    <row r="8" spans="1:13" customFormat="1" ht="15.75" customHeight="1" x14ac:dyDescent="0.3">
      <c r="A8" s="206"/>
      <c r="B8" s="305" t="s">
        <v>320</v>
      </c>
      <c r="C8" s="291"/>
      <c r="D8" s="423"/>
      <c r="E8" s="303" t="s">
        <v>321</v>
      </c>
      <c r="F8" s="423"/>
      <c r="G8" s="303" t="s">
        <v>322</v>
      </c>
      <c r="H8" s="423"/>
      <c r="I8" s="303" t="s">
        <v>323</v>
      </c>
      <c r="J8" s="423"/>
      <c r="K8" s="303" t="s">
        <v>324</v>
      </c>
      <c r="L8" s="423"/>
      <c r="M8" s="306" t="s">
        <v>325</v>
      </c>
    </row>
    <row r="9" spans="1:13" customFormat="1" ht="46.5" customHeight="1" x14ac:dyDescent="0.3">
      <c r="A9" s="424"/>
      <c r="B9" s="426" t="s">
        <v>509</v>
      </c>
      <c r="C9" s="290"/>
      <c r="D9" s="302" t="s">
        <v>43</v>
      </c>
      <c r="E9" s="310" t="s">
        <v>510</v>
      </c>
      <c r="F9" s="302" t="s">
        <v>43</v>
      </c>
      <c r="G9" s="310" t="s">
        <v>511</v>
      </c>
      <c r="H9" s="302" t="s">
        <v>43</v>
      </c>
      <c r="I9" s="310" t="s">
        <v>512</v>
      </c>
      <c r="J9" s="302" t="s">
        <v>43</v>
      </c>
      <c r="K9" s="310" t="s">
        <v>513</v>
      </c>
      <c r="L9" s="302" t="s">
        <v>43</v>
      </c>
      <c r="M9" s="312" t="s">
        <v>514</v>
      </c>
    </row>
    <row r="10" spans="1:13" ht="13" x14ac:dyDescent="0.3">
      <c r="A10" s="168">
        <v>1</v>
      </c>
      <c r="B10" s="427" t="s">
        <v>515</v>
      </c>
      <c r="C10" s="67">
        <v>1</v>
      </c>
      <c r="D10" s="67"/>
      <c r="E10" s="569"/>
      <c r="F10" s="67"/>
      <c r="G10" s="569"/>
      <c r="H10" s="67"/>
      <c r="I10" s="569"/>
      <c r="J10" s="67"/>
      <c r="K10" s="569"/>
      <c r="L10" s="67"/>
      <c r="M10" s="570"/>
    </row>
    <row r="11" spans="1:13" ht="13" x14ac:dyDescent="0.3">
      <c r="A11" s="168">
        <v>2</v>
      </c>
      <c r="B11" s="427" t="s">
        <v>516</v>
      </c>
      <c r="C11" s="67">
        <v>2</v>
      </c>
      <c r="D11" s="67"/>
      <c r="E11" s="569"/>
      <c r="F11" s="67"/>
      <c r="G11" s="569"/>
      <c r="H11" s="67"/>
      <c r="I11" s="569"/>
      <c r="J11" s="67"/>
      <c r="K11" s="569"/>
      <c r="L11" s="67"/>
      <c r="M11" s="570"/>
    </row>
    <row r="12" spans="1:13" ht="13" x14ac:dyDescent="0.3">
      <c r="A12" s="168">
        <v>3</v>
      </c>
      <c r="B12" s="427" t="s">
        <v>517</v>
      </c>
      <c r="C12" s="67">
        <v>3</v>
      </c>
      <c r="D12" s="67"/>
      <c r="E12" s="569"/>
      <c r="F12" s="67"/>
      <c r="G12" s="569"/>
      <c r="H12" s="67"/>
      <c r="I12" s="569"/>
      <c r="J12" s="67"/>
      <c r="K12" s="569"/>
      <c r="L12" s="67"/>
      <c r="M12" s="570"/>
    </row>
    <row r="13" spans="1:13" ht="13" x14ac:dyDescent="0.3">
      <c r="A13" s="168">
        <v>4</v>
      </c>
      <c r="B13" s="427" t="s">
        <v>518</v>
      </c>
      <c r="C13" s="67">
        <v>4</v>
      </c>
      <c r="D13" s="67"/>
      <c r="E13" s="569"/>
      <c r="F13" s="67"/>
      <c r="G13" s="569"/>
      <c r="H13" s="67"/>
      <c r="I13" s="569"/>
      <c r="J13" s="67"/>
      <c r="K13" s="569"/>
      <c r="L13" s="67"/>
      <c r="M13" s="570"/>
    </row>
    <row r="14" spans="1:13" ht="13" x14ac:dyDescent="0.3">
      <c r="A14" s="168">
        <v>5</v>
      </c>
      <c r="B14" s="427" t="s">
        <v>519</v>
      </c>
      <c r="C14" s="67">
        <v>5</v>
      </c>
      <c r="D14" s="67"/>
      <c r="E14" s="569"/>
      <c r="F14" s="67"/>
      <c r="G14" s="569"/>
      <c r="H14" s="67"/>
      <c r="I14" s="569"/>
      <c r="J14" s="67"/>
      <c r="K14" s="569"/>
      <c r="L14" s="67"/>
      <c r="M14" s="570"/>
    </row>
    <row r="15" spans="1:13" ht="26" x14ac:dyDescent="0.3">
      <c r="A15" s="168">
        <v>6</v>
      </c>
      <c r="B15" s="428" t="s">
        <v>520</v>
      </c>
      <c r="C15" s="67">
        <v>6</v>
      </c>
      <c r="D15" s="67"/>
      <c r="E15" s="569"/>
      <c r="F15" s="67"/>
      <c r="G15" s="569"/>
      <c r="H15" s="67"/>
      <c r="I15" s="569"/>
      <c r="J15" s="67"/>
      <c r="K15" s="569"/>
      <c r="L15" s="67"/>
      <c r="M15" s="570"/>
    </row>
    <row r="16" spans="1:13" ht="13" x14ac:dyDescent="0.3">
      <c r="A16" s="168">
        <v>7</v>
      </c>
      <c r="B16" s="427" t="s">
        <v>521</v>
      </c>
      <c r="C16" s="67">
        <v>7</v>
      </c>
      <c r="D16" s="67"/>
      <c r="E16" s="569"/>
      <c r="F16" s="67"/>
      <c r="G16" s="569"/>
      <c r="H16" s="67"/>
      <c r="I16" s="569"/>
      <c r="J16" s="67"/>
      <c r="K16" s="569"/>
      <c r="L16" s="67"/>
      <c r="M16" s="570"/>
    </row>
    <row r="17" spans="1:13" ht="13" x14ac:dyDescent="0.3">
      <c r="A17" s="168">
        <v>8</v>
      </c>
      <c r="B17" s="427" t="s">
        <v>522</v>
      </c>
      <c r="C17" s="67">
        <v>8</v>
      </c>
      <c r="D17" s="67"/>
      <c r="E17" s="569"/>
      <c r="F17" s="67"/>
      <c r="G17" s="569"/>
      <c r="H17" s="67"/>
      <c r="I17" s="569"/>
      <c r="J17" s="67"/>
      <c r="K17" s="569"/>
      <c r="L17" s="67"/>
      <c r="M17" s="570"/>
    </row>
    <row r="18" spans="1:13" ht="13" x14ac:dyDescent="0.3">
      <c r="A18" s="168">
        <v>9</v>
      </c>
      <c r="B18" s="427" t="s">
        <v>523</v>
      </c>
      <c r="C18" s="67">
        <v>9</v>
      </c>
      <c r="D18" s="67"/>
      <c r="E18" s="569"/>
      <c r="F18" s="67"/>
      <c r="G18" s="569"/>
      <c r="H18" s="67"/>
      <c r="I18" s="569"/>
      <c r="J18" s="67"/>
      <c r="K18" s="569"/>
      <c r="L18" s="67"/>
      <c r="M18" s="570"/>
    </row>
    <row r="19" spans="1:13" ht="13" x14ac:dyDescent="0.3">
      <c r="A19" s="168">
        <v>10</v>
      </c>
      <c r="B19" s="427" t="s">
        <v>524</v>
      </c>
      <c r="C19" s="67">
        <v>10</v>
      </c>
      <c r="D19" s="67"/>
      <c r="E19" s="569"/>
      <c r="F19" s="67"/>
      <c r="G19" s="569"/>
      <c r="H19" s="67"/>
      <c r="I19" s="569"/>
      <c r="J19" s="67"/>
      <c r="K19" s="569"/>
      <c r="L19" s="67"/>
      <c r="M19" s="570"/>
    </row>
    <row r="20" spans="1:13" ht="13" x14ac:dyDescent="0.3">
      <c r="A20" s="168">
        <v>11</v>
      </c>
      <c r="B20" s="427" t="s">
        <v>525</v>
      </c>
      <c r="C20" s="67">
        <v>11</v>
      </c>
      <c r="D20" s="67"/>
      <c r="E20" s="569"/>
      <c r="F20" s="67"/>
      <c r="G20" s="569"/>
      <c r="H20" s="67"/>
      <c r="I20" s="569"/>
      <c r="J20" s="67"/>
      <c r="K20" s="569"/>
      <c r="L20" s="67"/>
      <c r="M20" s="570"/>
    </row>
    <row r="21" spans="1:13" ht="13" x14ac:dyDescent="0.3">
      <c r="A21" s="168">
        <v>12</v>
      </c>
      <c r="B21" s="427" t="s">
        <v>526</v>
      </c>
      <c r="C21" s="67">
        <v>12</v>
      </c>
      <c r="D21" s="67"/>
      <c r="E21" s="569"/>
      <c r="F21" s="67"/>
      <c r="G21" s="569"/>
      <c r="H21" s="67"/>
      <c r="I21" s="569"/>
      <c r="J21" s="67"/>
      <c r="K21" s="569"/>
      <c r="L21" s="67"/>
      <c r="M21" s="570"/>
    </row>
    <row r="22" spans="1:13" ht="13" x14ac:dyDescent="0.3">
      <c r="A22" s="308">
        <v>13</v>
      </c>
      <c r="B22" s="430" t="s">
        <v>58</v>
      </c>
      <c r="C22" s="295">
        <v>13</v>
      </c>
      <c r="D22" s="295"/>
      <c r="E22" s="65">
        <f>SUM(E10:E21)</f>
        <v>0</v>
      </c>
      <c r="F22" s="295"/>
      <c r="G22" s="65">
        <f>SUM(G10:G21)</f>
        <v>0</v>
      </c>
      <c r="H22" s="295"/>
      <c r="I22" s="65">
        <f>SUM(I10:I21)</f>
        <v>0</v>
      </c>
      <c r="J22" s="295"/>
      <c r="K22" s="65">
        <f>SUM(K10:K21)</f>
        <v>0</v>
      </c>
      <c r="L22" s="295"/>
      <c r="M22" s="103">
        <f>SUM(M10:M21)</f>
        <v>0</v>
      </c>
    </row>
    <row r="23" spans="1:13" ht="13" x14ac:dyDescent="0.3">
      <c r="A23" s="168">
        <v>14</v>
      </c>
      <c r="B23" s="427" t="s">
        <v>527</v>
      </c>
      <c r="C23" s="67">
        <v>14</v>
      </c>
      <c r="D23" s="67"/>
      <c r="E23" s="569"/>
      <c r="F23" s="67"/>
      <c r="G23" s="569"/>
      <c r="H23" s="67"/>
      <c r="I23" s="569"/>
      <c r="J23" s="67"/>
      <c r="K23" s="569"/>
      <c r="L23" s="67"/>
      <c r="M23" s="570"/>
    </row>
    <row r="24" spans="1:13" ht="13" x14ac:dyDescent="0.3">
      <c r="A24" s="168">
        <v>15</v>
      </c>
      <c r="B24" s="427" t="s">
        <v>528</v>
      </c>
      <c r="C24" s="67">
        <v>15</v>
      </c>
      <c r="D24" s="67"/>
      <c r="E24" s="569"/>
      <c r="F24" s="67"/>
      <c r="G24" s="569"/>
      <c r="H24" s="67"/>
      <c r="I24" s="569"/>
      <c r="J24" s="67"/>
      <c r="K24" s="569"/>
      <c r="L24" s="67"/>
      <c r="M24" s="570"/>
    </row>
    <row r="25" spans="1:13" ht="13" x14ac:dyDescent="0.3">
      <c r="A25" s="168">
        <v>16</v>
      </c>
      <c r="B25" s="427" t="s">
        <v>529</v>
      </c>
      <c r="C25" s="67">
        <v>16</v>
      </c>
      <c r="D25" s="67"/>
      <c r="E25" s="569"/>
      <c r="F25" s="67"/>
      <c r="G25" s="569"/>
      <c r="H25" s="67"/>
      <c r="I25" s="569"/>
      <c r="J25" s="67"/>
      <c r="K25" s="569"/>
      <c r="L25" s="67"/>
      <c r="M25" s="570"/>
    </row>
    <row r="26" spans="1:13" ht="13" x14ac:dyDescent="0.3">
      <c r="A26" s="168">
        <v>17</v>
      </c>
      <c r="B26" s="427" t="s">
        <v>530</v>
      </c>
      <c r="C26" s="67">
        <v>17</v>
      </c>
      <c r="D26" s="67"/>
      <c r="E26" s="569"/>
      <c r="F26" s="67"/>
      <c r="G26" s="569"/>
      <c r="H26" s="67"/>
      <c r="I26" s="569"/>
      <c r="J26" s="67"/>
      <c r="K26" s="569"/>
      <c r="L26" s="67"/>
      <c r="M26" s="570"/>
    </row>
    <row r="27" spans="1:13" ht="13" x14ac:dyDescent="0.3">
      <c r="A27" s="168">
        <v>18</v>
      </c>
      <c r="B27" s="427" t="s">
        <v>531</v>
      </c>
      <c r="C27" s="67">
        <v>18</v>
      </c>
      <c r="D27" s="67"/>
      <c r="E27" s="569"/>
      <c r="F27" s="67"/>
      <c r="G27" s="569"/>
      <c r="H27" s="67"/>
      <c r="I27" s="569"/>
      <c r="J27" s="67"/>
      <c r="K27" s="569"/>
      <c r="L27" s="67"/>
      <c r="M27" s="570"/>
    </row>
    <row r="28" spans="1:13" ht="26" x14ac:dyDescent="0.3">
      <c r="A28" s="168">
        <v>19</v>
      </c>
      <c r="B28" s="428" t="s">
        <v>532</v>
      </c>
      <c r="C28" s="67">
        <v>19</v>
      </c>
      <c r="D28" s="67"/>
      <c r="E28" s="569"/>
      <c r="F28" s="67"/>
      <c r="G28" s="569"/>
      <c r="H28" s="67"/>
      <c r="I28" s="569"/>
      <c r="J28" s="67"/>
      <c r="K28" s="569"/>
      <c r="L28" s="67"/>
      <c r="M28" s="570"/>
    </row>
    <row r="29" spans="1:13" ht="13" x14ac:dyDescent="0.3">
      <c r="A29" s="168">
        <v>20</v>
      </c>
      <c r="B29" s="427" t="s">
        <v>533</v>
      </c>
      <c r="C29" s="67">
        <v>20</v>
      </c>
      <c r="D29" s="67"/>
      <c r="E29" s="569"/>
      <c r="F29" s="67"/>
      <c r="G29" s="569"/>
      <c r="H29" s="67"/>
      <c r="I29" s="569"/>
      <c r="J29" s="67"/>
      <c r="K29" s="569"/>
      <c r="L29" s="67"/>
      <c r="M29" s="570"/>
    </row>
    <row r="30" spans="1:13" ht="13" x14ac:dyDescent="0.3">
      <c r="A30" s="168">
        <v>21</v>
      </c>
      <c r="B30" s="427" t="s">
        <v>534</v>
      </c>
      <c r="C30" s="67">
        <v>21</v>
      </c>
      <c r="D30" s="67"/>
      <c r="E30" s="569"/>
      <c r="F30" s="67"/>
      <c r="G30" s="569"/>
      <c r="H30" s="67"/>
      <c r="I30" s="569"/>
      <c r="J30" s="67"/>
      <c r="K30" s="569"/>
      <c r="L30" s="67"/>
      <c r="M30" s="570"/>
    </row>
    <row r="31" spans="1:13" ht="13" x14ac:dyDescent="0.3">
      <c r="A31" s="168">
        <v>22</v>
      </c>
      <c r="B31" s="427" t="s">
        <v>535</v>
      </c>
      <c r="C31" s="67">
        <v>22</v>
      </c>
      <c r="D31" s="67"/>
      <c r="E31" s="569"/>
      <c r="F31" s="67"/>
      <c r="G31" s="569"/>
      <c r="H31" s="67"/>
      <c r="I31" s="569"/>
      <c r="J31" s="67"/>
      <c r="K31" s="569"/>
      <c r="L31" s="67"/>
      <c r="M31" s="570"/>
    </row>
    <row r="32" spans="1:13" ht="13" x14ac:dyDescent="0.3">
      <c r="A32" s="168">
        <v>23</v>
      </c>
      <c r="B32" s="427" t="s">
        <v>536</v>
      </c>
      <c r="C32" s="67">
        <v>23</v>
      </c>
      <c r="D32" s="67"/>
      <c r="E32" s="569"/>
      <c r="F32" s="67"/>
      <c r="G32" s="569"/>
      <c r="H32" s="67"/>
      <c r="I32" s="569"/>
      <c r="J32" s="67"/>
      <c r="K32" s="569"/>
      <c r="L32" s="67"/>
      <c r="M32" s="570"/>
    </row>
    <row r="33" spans="1:13" ht="13" x14ac:dyDescent="0.3">
      <c r="A33" s="168">
        <v>24</v>
      </c>
      <c r="B33" s="427" t="s">
        <v>537</v>
      </c>
      <c r="C33" s="67">
        <v>24</v>
      </c>
      <c r="D33" s="67"/>
      <c r="E33" s="569"/>
      <c r="F33" s="67"/>
      <c r="G33" s="569"/>
      <c r="H33" s="67"/>
      <c r="I33" s="569"/>
      <c r="J33" s="67"/>
      <c r="K33" s="569"/>
      <c r="L33" s="67"/>
      <c r="M33" s="570"/>
    </row>
    <row r="34" spans="1:13" ht="13" x14ac:dyDescent="0.3">
      <c r="A34" s="168">
        <v>25</v>
      </c>
      <c r="B34" s="427" t="s">
        <v>538</v>
      </c>
      <c r="C34" s="67">
        <v>25</v>
      </c>
      <c r="D34" s="67"/>
      <c r="E34" s="569"/>
      <c r="F34" s="67"/>
      <c r="G34" s="569"/>
      <c r="H34" s="67"/>
      <c r="I34" s="569"/>
      <c r="J34" s="67"/>
      <c r="K34" s="569"/>
      <c r="L34" s="67"/>
      <c r="M34" s="570"/>
    </row>
    <row r="35" spans="1:13" ht="13" x14ac:dyDescent="0.3">
      <c r="A35" s="308">
        <v>26</v>
      </c>
      <c r="B35" s="430" t="s">
        <v>58</v>
      </c>
      <c r="C35" s="295">
        <v>26</v>
      </c>
      <c r="D35" s="295"/>
      <c r="E35" s="65">
        <f>SUM(E23:E34)</f>
        <v>0</v>
      </c>
      <c r="F35" s="295"/>
      <c r="G35" s="65">
        <f>SUM(G23:G34)</f>
        <v>0</v>
      </c>
      <c r="H35" s="295"/>
      <c r="I35" s="65">
        <f>SUM(I23:I34)</f>
        <v>0</v>
      </c>
      <c r="J35" s="295"/>
      <c r="K35" s="65">
        <f>SUM(K23:K34)</f>
        <v>0</v>
      </c>
      <c r="L35" s="295"/>
      <c r="M35" s="103">
        <f>SUM(M23:M34)</f>
        <v>0</v>
      </c>
    </row>
    <row r="36" spans="1:13" ht="13" x14ac:dyDescent="0.3">
      <c r="A36" s="168">
        <v>27</v>
      </c>
      <c r="B36" s="427" t="s">
        <v>539</v>
      </c>
      <c r="C36" s="67">
        <v>27</v>
      </c>
      <c r="D36" s="67"/>
      <c r="E36" s="569"/>
      <c r="F36" s="67"/>
      <c r="G36" s="569"/>
      <c r="H36" s="67"/>
      <c r="I36" s="569"/>
      <c r="J36" s="67"/>
      <c r="K36" s="569"/>
      <c r="L36" s="67"/>
      <c r="M36" s="570"/>
    </row>
    <row r="37" spans="1:13" ht="13" x14ac:dyDescent="0.3">
      <c r="A37" s="168">
        <v>28</v>
      </c>
      <c r="B37" s="427" t="s">
        <v>540</v>
      </c>
      <c r="C37" s="67">
        <v>28</v>
      </c>
      <c r="D37" s="67"/>
      <c r="E37" s="569"/>
      <c r="F37" s="67"/>
      <c r="G37" s="569"/>
      <c r="H37" s="67"/>
      <c r="I37" s="569"/>
      <c r="J37" s="67"/>
      <c r="K37" s="569"/>
      <c r="L37" s="67"/>
      <c r="M37" s="570"/>
    </row>
    <row r="38" spans="1:13" ht="13" x14ac:dyDescent="0.3">
      <c r="A38" s="168">
        <v>29</v>
      </c>
      <c r="B38" s="427" t="s">
        <v>541</v>
      </c>
      <c r="C38" s="67">
        <v>29</v>
      </c>
      <c r="D38" s="67"/>
      <c r="E38" s="569"/>
      <c r="F38" s="67"/>
      <c r="G38" s="569"/>
      <c r="H38" s="67"/>
      <c r="I38" s="569"/>
      <c r="J38" s="67"/>
      <c r="K38" s="569"/>
      <c r="L38" s="67"/>
      <c r="M38" s="570"/>
    </row>
    <row r="39" spans="1:13" ht="13.5" thickBot="1" x14ac:dyDescent="0.35">
      <c r="A39" s="425">
        <v>30</v>
      </c>
      <c r="B39" s="429" t="s">
        <v>542</v>
      </c>
      <c r="C39" s="286">
        <v>30</v>
      </c>
      <c r="D39" s="286"/>
      <c r="E39" s="571"/>
      <c r="F39" s="286"/>
      <c r="G39" s="571"/>
      <c r="H39" s="286"/>
      <c r="I39" s="571"/>
      <c r="J39" s="286"/>
      <c r="K39" s="571"/>
      <c r="L39" s="286"/>
      <c r="M39" s="572"/>
    </row>
  </sheetData>
  <mergeCells count="4">
    <mergeCell ref="A1:L1"/>
    <mergeCell ref="A2:L2"/>
    <mergeCell ref="A3:L3"/>
    <mergeCell ref="A4:L4"/>
  </mergeCell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>
    <tabColor theme="3"/>
    <pageSetUpPr fitToPage="1"/>
  </sheetPr>
  <dimension ref="A1:Y49"/>
  <sheetViews>
    <sheetView zoomScale="90" zoomScaleNormal="90" workbookViewId="0">
      <selection sqref="A1:L1"/>
    </sheetView>
  </sheetViews>
  <sheetFormatPr defaultColWidth="9.7265625" defaultRowHeight="12.5" x14ac:dyDescent="0.25"/>
  <cols>
    <col min="1" max="1" width="6.54296875" style="15" bestFit="1" customWidth="1"/>
    <col min="2" max="2" width="51.1796875" style="15" customWidth="1"/>
    <col min="3" max="3" width="6.54296875" style="15" bestFit="1" customWidth="1"/>
    <col min="4" max="4" width="6" style="15" customWidth="1"/>
    <col min="5" max="5" width="16.54296875" style="15" customWidth="1"/>
    <col min="6" max="6" width="5.1796875" style="15" customWidth="1"/>
    <col min="7" max="7" width="16.54296875" style="15" customWidth="1"/>
    <col min="8" max="8" width="5.1796875" style="15" customWidth="1"/>
    <col min="9" max="9" width="16.54296875" style="15" customWidth="1"/>
    <col min="10" max="10" width="5.1796875" style="15" customWidth="1"/>
    <col min="11" max="11" width="14.7265625" style="15" customWidth="1"/>
    <col min="12" max="12" width="5.1796875" style="15" customWidth="1"/>
    <col min="13" max="13" width="17.54296875" style="15" customWidth="1"/>
    <col min="14" max="14" width="6" style="15" customWidth="1"/>
    <col min="15" max="15" width="16.54296875" style="15" customWidth="1"/>
    <col min="16" max="16" width="5.1796875" style="15" customWidth="1"/>
    <col min="17" max="17" width="16.54296875" style="15" customWidth="1"/>
    <col min="18" max="18" width="5.1796875" style="15" customWidth="1"/>
    <col min="19" max="19" width="16.54296875" style="15" customWidth="1"/>
    <col min="20" max="20" width="5.1796875" style="15" customWidth="1"/>
    <col min="21" max="21" width="18.26953125" style="15" bestFit="1" customWidth="1"/>
    <col min="22" max="22" width="5.1796875" style="15" customWidth="1"/>
    <col min="23" max="23" width="17.7265625" style="15" customWidth="1"/>
    <col min="24" max="24" width="5.1796875" style="15" customWidth="1"/>
    <col min="25" max="25" width="16.54296875" style="15" customWidth="1"/>
    <col min="26" max="26" width="5.1796875" style="15" customWidth="1"/>
    <col min="27" max="27" width="16.54296875" style="15" customWidth="1"/>
    <col min="28" max="28" width="5.1796875" style="15" customWidth="1"/>
    <col min="29" max="29" width="16.54296875" style="15" customWidth="1"/>
    <col min="30" max="30" width="5.1796875" style="15" customWidth="1"/>
    <col min="31" max="31" width="16.54296875" style="15" customWidth="1"/>
    <col min="32" max="32" width="5.1796875" style="15" customWidth="1"/>
    <col min="33" max="33" width="16.54296875" style="15" customWidth="1"/>
    <col min="34" max="16384" width="9.7265625" style="15"/>
  </cols>
  <sheetData>
    <row r="1" spans="1:25" customFormat="1" ht="13" x14ac:dyDescent="0.3">
      <c r="A1" s="717">
        <f>'Basic Information'!B4</f>
        <v>0</v>
      </c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9"/>
      <c r="M1" s="464" t="s">
        <v>308</v>
      </c>
    </row>
    <row r="2" spans="1:25" customFormat="1" x14ac:dyDescent="0.25">
      <c r="A2" s="720" t="s">
        <v>543</v>
      </c>
      <c r="B2" s="721"/>
      <c r="C2" s="721"/>
      <c r="D2" s="721"/>
      <c r="E2" s="721"/>
      <c r="F2" s="721"/>
      <c r="G2" s="721"/>
      <c r="H2" s="721"/>
      <c r="I2" s="721"/>
      <c r="J2" s="721"/>
      <c r="K2" s="721"/>
      <c r="L2" s="722"/>
      <c r="M2" s="464" t="s">
        <v>310</v>
      </c>
    </row>
    <row r="3" spans="1:25" customFormat="1" x14ac:dyDescent="0.25">
      <c r="A3" s="723" t="str">
        <f>'Basic Information'!B1</f>
        <v>12/31/24</v>
      </c>
      <c r="B3" s="721"/>
      <c r="C3" s="721"/>
      <c r="D3" s="721"/>
      <c r="E3" s="721"/>
      <c r="F3" s="721"/>
      <c r="G3" s="721"/>
      <c r="H3" s="721"/>
      <c r="I3" s="721"/>
      <c r="J3" s="721"/>
      <c r="K3" s="721"/>
      <c r="L3" s="722"/>
      <c r="M3" s="464" t="s">
        <v>311</v>
      </c>
    </row>
    <row r="4" spans="1:25" customFormat="1" x14ac:dyDescent="0.25">
      <c r="A4" s="724" t="s">
        <v>312</v>
      </c>
      <c r="B4" s="725"/>
      <c r="C4" s="725"/>
      <c r="D4" s="725"/>
      <c r="E4" s="725"/>
      <c r="F4" s="725"/>
      <c r="G4" s="725"/>
      <c r="H4" s="725"/>
      <c r="I4" s="725"/>
      <c r="J4" s="725"/>
      <c r="K4" s="725"/>
      <c r="L4" s="726"/>
      <c r="M4" s="464" t="s">
        <v>313</v>
      </c>
    </row>
    <row r="5" spans="1:25" customFormat="1" ht="13.5" thickBot="1" x14ac:dyDescent="0.35">
      <c r="A5" s="552"/>
      <c r="B5" s="557"/>
      <c r="C5" s="558"/>
      <c r="D5" s="558"/>
      <c r="E5" s="553"/>
      <c r="F5" s="553"/>
      <c r="G5" s="553"/>
      <c r="H5" s="553"/>
      <c r="I5" s="553"/>
      <c r="J5" s="559"/>
      <c r="K5" s="559"/>
      <c r="L5" s="560"/>
      <c r="M5" s="464" t="s">
        <v>314</v>
      </c>
    </row>
    <row r="6" spans="1:25" customFormat="1" ht="4.5" customHeight="1" x14ac:dyDescent="0.25">
      <c r="M6" s="464" t="s">
        <v>315</v>
      </c>
    </row>
    <row r="7" spans="1:25" customFormat="1" x14ac:dyDescent="0.25"/>
    <row r="8" spans="1:25" customFormat="1" ht="13" thickBot="1" x14ac:dyDescent="0.3"/>
    <row r="9" spans="1:25" customFormat="1" ht="13" thickBot="1" x14ac:dyDescent="0.3">
      <c r="B9" s="466" t="s">
        <v>316</v>
      </c>
    </row>
    <row r="10" spans="1:25" customFormat="1" ht="13" thickBot="1" x14ac:dyDescent="0.3">
      <c r="B10" s="561"/>
      <c r="E10" t="s">
        <v>544</v>
      </c>
      <c r="G10" s="514">
        <v>1</v>
      </c>
    </row>
    <row r="11" spans="1:25" customFormat="1" x14ac:dyDescent="0.25"/>
    <row r="12" spans="1:25" customFormat="1" ht="13" thickBot="1" x14ac:dyDescent="0.3"/>
    <row r="13" spans="1:25" customFormat="1" ht="15.75" customHeight="1" x14ac:dyDescent="0.3">
      <c r="A13" s="48"/>
      <c r="B13" s="713" t="s">
        <v>481</v>
      </c>
      <c r="C13" s="291"/>
      <c r="D13" s="710" t="s">
        <v>362</v>
      </c>
      <c r="E13" s="711"/>
      <c r="F13" s="711"/>
      <c r="G13" s="711"/>
      <c r="H13" s="711"/>
      <c r="I13" s="711"/>
      <c r="J13" s="711"/>
      <c r="K13" s="711"/>
      <c r="L13" s="711"/>
      <c r="M13" s="712"/>
      <c r="N13" s="711" t="s">
        <v>545</v>
      </c>
      <c r="O13" s="711"/>
      <c r="P13" s="711"/>
      <c r="Q13" s="711"/>
      <c r="R13" s="711"/>
      <c r="S13" s="711"/>
      <c r="T13" s="711"/>
      <c r="U13" s="711"/>
      <c r="V13" s="711"/>
      <c r="W13" s="711"/>
      <c r="X13" s="292"/>
      <c r="Y13" s="293" t="s">
        <v>546</v>
      </c>
    </row>
    <row r="14" spans="1:25" customFormat="1" ht="46.5" customHeight="1" x14ac:dyDescent="0.3">
      <c r="A14" s="294"/>
      <c r="B14" s="714"/>
      <c r="C14" s="290"/>
      <c r="D14" s="307" t="s">
        <v>43</v>
      </c>
      <c r="E14" s="469" t="s">
        <v>483</v>
      </c>
      <c r="F14" s="302" t="s">
        <v>43</v>
      </c>
      <c r="G14" s="469" t="s">
        <v>484</v>
      </c>
      <c r="H14" s="307" t="s">
        <v>43</v>
      </c>
      <c r="I14" s="469" t="s">
        <v>370</v>
      </c>
      <c r="J14" s="302" t="s">
        <v>43</v>
      </c>
      <c r="K14" s="469" t="s">
        <v>371</v>
      </c>
      <c r="L14" s="302" t="s">
        <v>43</v>
      </c>
      <c r="M14" s="470" t="s">
        <v>372</v>
      </c>
      <c r="N14" s="304" t="s">
        <v>43</v>
      </c>
      <c r="O14" s="469" t="s">
        <v>373</v>
      </c>
      <c r="P14" s="302" t="s">
        <v>43</v>
      </c>
      <c r="Q14" s="469" t="s">
        <v>374</v>
      </c>
      <c r="R14" s="302" t="s">
        <v>43</v>
      </c>
      <c r="S14" s="469" t="s">
        <v>375</v>
      </c>
      <c r="T14" s="302" t="s">
        <v>43</v>
      </c>
      <c r="U14" s="469" t="s">
        <v>376</v>
      </c>
      <c r="V14" s="302" t="s">
        <v>43</v>
      </c>
      <c r="W14" s="469" t="s">
        <v>377</v>
      </c>
      <c r="X14" s="304" t="s">
        <v>43</v>
      </c>
      <c r="Y14" s="311" t="s">
        <v>485</v>
      </c>
    </row>
    <row r="15" spans="1:25" ht="13" x14ac:dyDescent="0.3">
      <c r="A15" s="53" t="s">
        <v>87</v>
      </c>
      <c r="B15" s="39" t="s">
        <v>378</v>
      </c>
      <c r="C15" s="480" t="s">
        <v>87</v>
      </c>
      <c r="D15" s="168"/>
      <c r="E15" s="299">
        <f>INDEX('Schedule J'!N$15:N$41,MATCH($A15,'Schedule J'!$A$15:$A$41,0))*$G$10</f>
        <v>0</v>
      </c>
      <c r="F15" s="56"/>
      <c r="G15" s="299">
        <f>INDEX('Schedule J'!P$15:P$41,MATCH($A15,'Schedule J'!$A$15:$A$41,0))*$G$10</f>
        <v>0</v>
      </c>
      <c r="H15" s="56"/>
      <c r="I15" s="299">
        <f>INDEX('Schedule J'!R$15:R$41,MATCH($A15,'Schedule J'!$A$15:$A$41,0))*$G$10</f>
        <v>0</v>
      </c>
      <c r="J15" s="56"/>
      <c r="K15" s="299">
        <f>INDEX('Schedule J'!T$15:T$41,MATCH($A15,'Schedule J'!$A$15:$A$41,0))*$G$10</f>
        <v>0</v>
      </c>
      <c r="L15" s="56"/>
      <c r="M15" s="299">
        <f>INDEX('Schedule J'!V$15:V$41,MATCH($A15,'Schedule J'!$A$15:$A$41,0))*$G$10</f>
        <v>0</v>
      </c>
      <c r="N15" s="56"/>
      <c r="O15" s="299">
        <f>INDEX('Schedule J'!X$15:X$41,MATCH($A15,'Schedule J'!$A$15:$A$41,0))*$G$10</f>
        <v>0</v>
      </c>
      <c r="P15" s="56"/>
      <c r="Q15" s="299">
        <f>INDEX('Schedule J'!Z$15:Z$41,MATCH($A15,'Schedule J'!$A$15:$A$41,0))*$G$10</f>
        <v>0</v>
      </c>
      <c r="R15" s="56"/>
      <c r="S15" s="299">
        <f>INDEX('Schedule J'!AB$15:AB$41,MATCH($A15,'Schedule J'!$A$15:$A$41,0))*$G$10</f>
        <v>0</v>
      </c>
      <c r="T15" s="56"/>
      <c r="U15" s="299">
        <f>INDEX('Schedule J'!AD$15:AD$41,MATCH($A15,'Schedule J'!$A$15:$A$41,0))*$G$10</f>
        <v>0</v>
      </c>
      <c r="V15" s="56"/>
      <c r="W15" s="299">
        <f>INDEX('Schedule J'!AF$15:AF$41,MATCH($A15,'Schedule J'!$A$15:$A$41,0))*$G$10</f>
        <v>0</v>
      </c>
      <c r="X15" s="56"/>
      <c r="Y15" s="59">
        <f>SUM(E15:W15)</f>
        <v>0</v>
      </c>
    </row>
    <row r="16" spans="1:25" ht="13" x14ac:dyDescent="0.3">
      <c r="A16" s="53" t="s">
        <v>486</v>
      </c>
      <c r="B16" s="417" t="s">
        <v>379</v>
      </c>
      <c r="C16" s="418" t="s">
        <v>486</v>
      </c>
      <c r="D16" s="168"/>
      <c r="E16" s="299">
        <f>INDEX('Schedule J'!N$15:N$41,MATCH($A16,'Schedule J'!$A$15:$A$41,0))*$G$10</f>
        <v>0</v>
      </c>
      <c r="F16" s="56"/>
      <c r="G16" s="299">
        <f>INDEX('Schedule J'!P$15:P$41,MATCH($A16,'Schedule J'!$A$15:$A$41,0))*$G$10</f>
        <v>0</v>
      </c>
      <c r="H16" s="56"/>
      <c r="I16" s="299">
        <f>INDEX('Schedule J'!R$15:R$41,MATCH($A16,'Schedule J'!$A$15:$A$41,0))*$G$10</f>
        <v>0</v>
      </c>
      <c r="J16" s="56"/>
      <c r="K16" s="299">
        <f>INDEX('Schedule J'!T$15:T$41,MATCH($A16,'Schedule J'!$A$15:$A$41,0))*$G$10</f>
        <v>0</v>
      </c>
      <c r="L16" s="56"/>
      <c r="M16" s="299">
        <f>INDEX('Schedule J'!V$15:V$41,MATCH($A16,'Schedule J'!$A$15:$A$41,0))*$G$10</f>
        <v>0</v>
      </c>
      <c r="N16" s="56"/>
      <c r="O16" s="299">
        <f>INDEX('Schedule J'!X$15:X$41,MATCH($A16,'Schedule J'!$A$15:$A$41,0))*$G$10</f>
        <v>0</v>
      </c>
      <c r="P16" s="56"/>
      <c r="Q16" s="299">
        <f>INDEX('Schedule J'!Z$15:Z$41,MATCH($A16,'Schedule J'!$A$15:$A$41,0))*$G$10</f>
        <v>0</v>
      </c>
      <c r="R16" s="56"/>
      <c r="S16" s="299">
        <f>INDEX('Schedule J'!AB$15:AB$41,MATCH($A16,'Schedule J'!$A$15:$A$41,0))*$G$10</f>
        <v>0</v>
      </c>
      <c r="T16" s="56"/>
      <c r="U16" s="299">
        <f>INDEX('Schedule J'!AD$15:AD$41,MATCH($A16,'Schedule J'!$A$15:$A$41,0))*$G$10</f>
        <v>0</v>
      </c>
      <c r="V16" s="56"/>
      <c r="W16" s="299">
        <f>INDEX('Schedule J'!AF$15:AF$41,MATCH($A16,'Schedule J'!$A$15:$A$41,0))*$G$10</f>
        <v>0</v>
      </c>
      <c r="X16" s="56"/>
      <c r="Y16" s="59">
        <f>SUM(E16:W16)</f>
        <v>0</v>
      </c>
    </row>
    <row r="17" spans="1:25" ht="13" x14ac:dyDescent="0.3">
      <c r="A17" s="53" t="s">
        <v>487</v>
      </c>
      <c r="B17" s="39" t="s">
        <v>383</v>
      </c>
      <c r="C17" s="418" t="s">
        <v>487</v>
      </c>
      <c r="D17" s="168"/>
      <c r="E17" s="299">
        <f>INDEX('Schedule J'!N$15:N$41,MATCH($A17,'Schedule J'!$A$15:$A$41,0))*$G$10</f>
        <v>0</v>
      </c>
      <c r="F17" s="56"/>
      <c r="G17" s="299">
        <f>INDEX('Schedule J'!P$15:P$41,MATCH($A17,'Schedule J'!$A$15:$A$41,0))*$G$10</f>
        <v>0</v>
      </c>
      <c r="H17" s="56"/>
      <c r="I17" s="299">
        <f>INDEX('Schedule J'!R$15:R$41,MATCH($A17,'Schedule J'!$A$15:$A$41,0))*$G$10</f>
        <v>0</v>
      </c>
      <c r="J17" s="56"/>
      <c r="K17" s="299">
        <f>INDEX('Schedule J'!T$15:T$41,MATCH($A17,'Schedule J'!$A$15:$A$41,0))*$G$10</f>
        <v>0</v>
      </c>
      <c r="L17" s="56"/>
      <c r="M17" s="299">
        <f>INDEX('Schedule J'!V$15:V$41,MATCH($A17,'Schedule J'!$A$15:$A$41,0))*$G$10</f>
        <v>0</v>
      </c>
      <c r="N17" s="56"/>
      <c r="O17" s="299">
        <f>INDEX('Schedule J'!X$15:X$41,MATCH($A17,'Schedule J'!$A$15:$A$41,0))*$G$10</f>
        <v>0</v>
      </c>
      <c r="P17" s="56"/>
      <c r="Q17" s="299">
        <f>INDEX('Schedule J'!Z$15:Z$41,MATCH($A17,'Schedule J'!$A$15:$A$41,0))*$G$10</f>
        <v>0</v>
      </c>
      <c r="R17" s="56"/>
      <c r="S17" s="299">
        <f>INDEX('Schedule J'!AB$15:AB$41,MATCH($A17,'Schedule J'!$A$15:$A$41,0))*$G$10</f>
        <v>0</v>
      </c>
      <c r="T17" s="56"/>
      <c r="U17" s="299">
        <f>INDEX('Schedule J'!AD$15:AD$41,MATCH($A17,'Schedule J'!$A$15:$A$41,0))*$G$10</f>
        <v>0</v>
      </c>
      <c r="V17" s="56"/>
      <c r="W17" s="299">
        <f>INDEX('Schedule J'!AF$15:AF$41,MATCH($A17,'Schedule J'!$A$15:$A$41,0))*$G$10</f>
        <v>0</v>
      </c>
      <c r="X17" s="66"/>
      <c r="Y17" s="59">
        <f>SUM(E17:W17)</f>
        <v>0</v>
      </c>
    </row>
    <row r="18" spans="1:25" ht="13" x14ac:dyDescent="0.3">
      <c r="A18" s="53">
        <v>2</v>
      </c>
      <c r="B18" s="68" t="s">
        <v>489</v>
      </c>
      <c r="C18" s="418">
        <v>2</v>
      </c>
      <c r="D18" s="168"/>
      <c r="E18" s="299">
        <f>INDEX('Schedule J'!N$15:N$41,MATCH($A18,'Schedule J'!$A$15:$A$41,0))*$G$10</f>
        <v>0</v>
      </c>
      <c r="F18" s="56"/>
      <c r="G18" s="299">
        <f>INDEX('Schedule J'!P$15:P$41,MATCH($A18,'Schedule J'!$A$15:$A$41,0))*$G$10</f>
        <v>0</v>
      </c>
      <c r="H18" s="56"/>
      <c r="I18" s="299">
        <f>INDEX('Schedule J'!R$15:R$41,MATCH($A18,'Schedule J'!$A$15:$A$41,0))*$G$10</f>
        <v>0</v>
      </c>
      <c r="J18" s="56"/>
      <c r="K18" s="299">
        <f>INDEX('Schedule J'!T$15:T$41,MATCH($A18,'Schedule J'!$A$15:$A$41,0))*$G$10</f>
        <v>0</v>
      </c>
      <c r="L18" s="56"/>
      <c r="M18" s="299">
        <f>INDEX('Schedule J'!V$15:V$41,MATCH($A18,'Schedule J'!$A$15:$A$41,0))*$G$10</f>
        <v>0</v>
      </c>
      <c r="N18" s="56"/>
      <c r="O18" s="299">
        <f>INDEX('Schedule J'!X$15:X$41,MATCH($A18,'Schedule J'!$A$15:$A$41,0))*$G$10</f>
        <v>0</v>
      </c>
      <c r="P18" s="56"/>
      <c r="Q18" s="299">
        <f>INDEX('Schedule J'!Z$15:Z$41,MATCH($A18,'Schedule J'!$A$15:$A$41,0))*$G$10</f>
        <v>0</v>
      </c>
      <c r="R18" s="56"/>
      <c r="S18" s="299">
        <f>INDEX('Schedule J'!AB$15:AB$41,MATCH($A18,'Schedule J'!$A$15:$A$41,0))*$G$10</f>
        <v>0</v>
      </c>
      <c r="T18" s="56"/>
      <c r="U18" s="299">
        <f>INDEX('Schedule J'!AD$15:AD$41,MATCH($A18,'Schedule J'!$A$15:$A$41,0))*$G$10</f>
        <v>0</v>
      </c>
      <c r="V18" s="56"/>
      <c r="W18" s="299">
        <f>INDEX('Schedule J'!AF$15:AF$41,MATCH($A18,'Schedule J'!$A$15:$A$41,0))*$G$10</f>
        <v>0</v>
      </c>
      <c r="X18" s="325"/>
      <c r="Y18" s="316"/>
    </row>
    <row r="19" spans="1:25" ht="13" x14ac:dyDescent="0.3">
      <c r="A19" s="53">
        <v>3</v>
      </c>
      <c r="B19" s="39" t="s">
        <v>493</v>
      </c>
      <c r="C19" s="418">
        <v>3</v>
      </c>
      <c r="D19" s="168"/>
      <c r="E19" s="299">
        <f>INDEX('Schedule J'!N$15:N$41,MATCH($A19,'Schedule J'!$A$15:$A$41,0))*$G$10</f>
        <v>0</v>
      </c>
      <c r="F19" s="56"/>
      <c r="G19" s="299">
        <f>INDEX('Schedule J'!P$15:P$41,MATCH($A19,'Schedule J'!$A$15:$A$41,0))*$G$10</f>
        <v>0</v>
      </c>
      <c r="H19" s="56"/>
      <c r="I19" s="299">
        <f>INDEX('Schedule J'!R$15:R$41,MATCH($A19,'Schedule J'!$A$15:$A$41,0))*$G$10</f>
        <v>0</v>
      </c>
      <c r="J19" s="56"/>
      <c r="K19" s="299">
        <f>INDEX('Schedule J'!T$15:T$41,MATCH($A19,'Schedule J'!$A$15:$A$41,0))*$G$10</f>
        <v>0</v>
      </c>
      <c r="L19" s="56"/>
      <c r="M19" s="299">
        <f>INDEX('Schedule J'!V$15:V$41,MATCH($A19,'Schedule J'!$A$15:$A$41,0))*$G$10</f>
        <v>0</v>
      </c>
      <c r="N19" s="56"/>
      <c r="O19" s="299">
        <f>INDEX('Schedule J'!X$15:X$41,MATCH($A19,'Schedule J'!$A$15:$A$41,0))*$G$10</f>
        <v>0</v>
      </c>
      <c r="P19" s="56"/>
      <c r="Q19" s="299">
        <f>INDEX('Schedule J'!Z$15:Z$41,MATCH($A19,'Schedule J'!$A$15:$A$41,0))*$G$10</f>
        <v>0</v>
      </c>
      <c r="R19" s="56"/>
      <c r="S19" s="299">
        <f>INDEX('Schedule J'!AB$15:AB$41,MATCH($A19,'Schedule J'!$A$15:$A$41,0))*$G$10</f>
        <v>0</v>
      </c>
      <c r="T19" s="56"/>
      <c r="U19" s="299">
        <f>INDEX('Schedule J'!AD$15:AD$41,MATCH($A19,'Schedule J'!$A$15:$A$41,0))*$G$10</f>
        <v>0</v>
      </c>
      <c r="V19" s="56"/>
      <c r="W19" s="299">
        <f>INDEX('Schedule J'!AF$15:AF$41,MATCH($A19,'Schedule J'!$A$15:$A$41,0))*$G$10</f>
        <v>0</v>
      </c>
      <c r="X19" s="56"/>
      <c r="Y19" s="59">
        <f>SUM(E19:W19)</f>
        <v>0</v>
      </c>
    </row>
    <row r="20" spans="1:25" ht="13" x14ac:dyDescent="0.3">
      <c r="A20" s="53">
        <v>4</v>
      </c>
      <c r="B20" s="39" t="s">
        <v>494</v>
      </c>
      <c r="C20" s="418">
        <v>4</v>
      </c>
      <c r="D20" s="168"/>
      <c r="E20" s="299">
        <f>INDEX('Schedule J'!N$15:N$41,MATCH($A20,'Schedule J'!$A$15:$A$41,0))*$G$10</f>
        <v>0</v>
      </c>
      <c r="F20" s="56"/>
      <c r="G20" s="299">
        <f>INDEX('Schedule J'!P$15:P$41,MATCH($A20,'Schedule J'!$A$15:$A$41,0))*$G$10</f>
        <v>0</v>
      </c>
      <c r="H20" s="56"/>
      <c r="I20" s="299">
        <f>INDEX('Schedule J'!R$15:R$41,MATCH($A20,'Schedule J'!$A$15:$A$41,0))*$G$10</f>
        <v>0</v>
      </c>
      <c r="J20" s="56"/>
      <c r="K20" s="299">
        <f>INDEX('Schedule J'!T$15:T$41,MATCH($A20,'Schedule J'!$A$15:$A$41,0))*$G$10</f>
        <v>0</v>
      </c>
      <c r="L20" s="56"/>
      <c r="M20" s="299">
        <f>INDEX('Schedule J'!V$15:V$41,MATCH($A20,'Schedule J'!$A$15:$A$41,0))*$G$10</f>
        <v>0</v>
      </c>
      <c r="N20" s="56"/>
      <c r="O20" s="299">
        <f>INDEX('Schedule J'!X$15:X$41,MATCH($A20,'Schedule J'!$A$15:$A$41,0))*$G$10</f>
        <v>0</v>
      </c>
      <c r="P20" s="56"/>
      <c r="Q20" s="299">
        <f>INDEX('Schedule J'!Z$15:Z$41,MATCH($A20,'Schedule J'!$A$15:$A$41,0))*$G$10</f>
        <v>0</v>
      </c>
      <c r="R20" s="56"/>
      <c r="S20" s="299">
        <f>INDEX('Schedule J'!AB$15:AB$41,MATCH($A20,'Schedule J'!$A$15:$A$41,0))*$G$10</f>
        <v>0</v>
      </c>
      <c r="T20" s="56"/>
      <c r="U20" s="299">
        <f>INDEX('Schedule J'!AD$15:AD$41,MATCH($A20,'Schedule J'!$A$15:$A$41,0))*$G$10</f>
        <v>0</v>
      </c>
      <c r="V20" s="56"/>
      <c r="W20" s="299">
        <f>INDEX('Schedule J'!AF$15:AF$41,MATCH($A20,'Schedule J'!$A$15:$A$41,0))*$G$10</f>
        <v>0</v>
      </c>
      <c r="X20" s="325"/>
      <c r="Y20" s="323"/>
    </row>
    <row r="21" spans="1:25" ht="13" x14ac:dyDescent="0.3">
      <c r="A21" s="53">
        <v>5</v>
      </c>
      <c r="B21" s="417" t="s">
        <v>496</v>
      </c>
      <c r="C21" s="418">
        <v>5</v>
      </c>
      <c r="D21" s="168"/>
      <c r="E21" s="299">
        <f>INDEX('Schedule J'!N$15:N$41,MATCH($A21,'Schedule J'!$A$15:$A$41,0))*$G$10</f>
        <v>0</v>
      </c>
      <c r="F21" s="56"/>
      <c r="G21" s="299">
        <f>INDEX('Schedule J'!P$15:P$41,MATCH($A21,'Schedule J'!$A$15:$A$41,0))*$G$10</f>
        <v>0</v>
      </c>
      <c r="H21" s="56"/>
      <c r="I21" s="299">
        <f>INDEX('Schedule J'!R$15:R$41,MATCH($A21,'Schedule J'!$A$15:$A$41,0))*$G$10</f>
        <v>0</v>
      </c>
      <c r="J21" s="56"/>
      <c r="K21" s="299">
        <f>INDEX('Schedule J'!T$15:T$41,MATCH($A21,'Schedule J'!$A$15:$A$41,0))*$G$10</f>
        <v>0</v>
      </c>
      <c r="L21" s="56"/>
      <c r="M21" s="299">
        <f>INDEX('Schedule J'!V$15:V$41,MATCH($A21,'Schedule J'!$A$15:$A$41,0))*$G$10</f>
        <v>0</v>
      </c>
      <c r="N21" s="56"/>
      <c r="O21" s="299">
        <f>INDEX('Schedule J'!X$15:X$41,MATCH($A21,'Schedule J'!$A$15:$A$41,0))*$G$10</f>
        <v>0</v>
      </c>
      <c r="P21" s="56"/>
      <c r="Q21" s="299">
        <f>INDEX('Schedule J'!Z$15:Z$41,MATCH($A21,'Schedule J'!$A$15:$A$41,0))*$G$10</f>
        <v>0</v>
      </c>
      <c r="R21" s="56"/>
      <c r="S21" s="299">
        <f>INDEX('Schedule J'!AB$15:AB$41,MATCH($A21,'Schedule J'!$A$15:$A$41,0))*$G$10</f>
        <v>0</v>
      </c>
      <c r="T21" s="56"/>
      <c r="U21" s="299">
        <f>INDEX('Schedule J'!AD$15:AD$41,MATCH($A21,'Schedule J'!$A$15:$A$41,0))*$G$10</f>
        <v>0</v>
      </c>
      <c r="V21" s="56"/>
      <c r="W21" s="299">
        <f>INDEX('Schedule J'!AF$15:AF$41,MATCH($A21,'Schedule J'!$A$15:$A$41,0))*$G$10</f>
        <v>0</v>
      </c>
      <c r="X21" s="318"/>
      <c r="Y21" s="314"/>
    </row>
    <row r="22" spans="1:25" ht="13" x14ac:dyDescent="0.3">
      <c r="A22" s="53">
        <v>6</v>
      </c>
      <c r="B22" s="39" t="s">
        <v>497</v>
      </c>
      <c r="C22" s="418">
        <v>6</v>
      </c>
      <c r="D22" s="168"/>
      <c r="E22" s="299">
        <f>INDEX('Schedule J'!N$15:N$41,MATCH($A22,'Schedule J'!$A$15:$A$41,0))*$G$10</f>
        <v>0</v>
      </c>
      <c r="F22" s="56"/>
      <c r="G22" s="299">
        <f>INDEX('Schedule J'!P$15:P$41,MATCH($A22,'Schedule J'!$A$15:$A$41,0))*$G$10</f>
        <v>0</v>
      </c>
      <c r="H22" s="56"/>
      <c r="I22" s="299">
        <f>INDEX('Schedule J'!R$15:R$41,MATCH($A22,'Schedule J'!$A$15:$A$41,0))*$G$10</f>
        <v>0</v>
      </c>
      <c r="J22" s="56"/>
      <c r="K22" s="299">
        <f>INDEX('Schedule J'!T$15:T$41,MATCH($A22,'Schedule J'!$A$15:$A$41,0))*$G$10</f>
        <v>0</v>
      </c>
      <c r="L22" s="56"/>
      <c r="M22" s="299">
        <f>INDEX('Schedule J'!V$15:V$41,MATCH($A22,'Schedule J'!$A$15:$A$41,0))*$G$10</f>
        <v>0</v>
      </c>
      <c r="N22" s="56"/>
      <c r="O22" s="299">
        <f>INDEX('Schedule J'!X$15:X$41,MATCH($A22,'Schedule J'!$A$15:$A$41,0))*$G$10</f>
        <v>0</v>
      </c>
      <c r="P22" s="56"/>
      <c r="Q22" s="299">
        <f>INDEX('Schedule J'!Z$15:Z$41,MATCH($A22,'Schedule J'!$A$15:$A$41,0))*$G$10</f>
        <v>0</v>
      </c>
      <c r="R22" s="56"/>
      <c r="S22" s="299">
        <f>INDEX('Schedule J'!AB$15:AB$41,MATCH($A22,'Schedule J'!$A$15:$A$41,0))*$G$10</f>
        <v>0</v>
      </c>
      <c r="T22" s="56"/>
      <c r="U22" s="299">
        <f>INDEX('Schedule J'!AD$15:AD$41,MATCH($A22,'Schedule J'!$A$15:$A$41,0))*$G$10</f>
        <v>0</v>
      </c>
      <c r="V22" s="56"/>
      <c r="W22" s="299">
        <f>INDEX('Schedule J'!AF$15:AF$41,MATCH($A22,'Schedule J'!$A$15:$A$41,0))*$G$10</f>
        <v>0</v>
      </c>
      <c r="X22" s="318"/>
      <c r="Y22" s="314"/>
    </row>
    <row r="23" spans="1:25" ht="13" x14ac:dyDescent="0.3">
      <c r="A23" s="53">
        <v>7</v>
      </c>
      <c r="B23" s="39" t="s">
        <v>498</v>
      </c>
      <c r="C23" s="418">
        <v>7</v>
      </c>
      <c r="D23" s="284"/>
      <c r="E23" s="330"/>
      <c r="F23" s="332"/>
      <c r="G23" s="330"/>
      <c r="H23" s="332"/>
      <c r="I23" s="330"/>
      <c r="J23" s="332"/>
      <c r="K23" s="330"/>
      <c r="L23" s="332"/>
      <c r="M23" s="338"/>
      <c r="N23" s="56"/>
      <c r="O23" s="299">
        <f>INDEX('Schedule J'!X$15:X$41,MATCH($A23,'Schedule J'!$A$15:$A$41,0))*$G$10</f>
        <v>0</v>
      </c>
      <c r="P23" s="67"/>
      <c r="Q23" s="299">
        <f>INDEX('Schedule J'!Z$15:Z$41,MATCH($A23,'Schedule J'!$A$15:$A$41,0))*$G$10</f>
        <v>0</v>
      </c>
      <c r="R23" s="67"/>
      <c r="S23" s="299">
        <f>INDEX('Schedule J'!AB$15:AB$41,MATCH($A23,'Schedule J'!$A$15:$A$41,0))*$G$10</f>
        <v>0</v>
      </c>
      <c r="T23" s="67"/>
      <c r="U23" s="299">
        <f>INDEX('Schedule J'!AD$15:AD$41,MATCH($A23,'Schedule J'!$A$15:$A$41,0))*$G$10</f>
        <v>0</v>
      </c>
      <c r="V23" s="67"/>
      <c r="W23" s="299">
        <f>INDEX('Schedule J'!AF$15:AF$41,MATCH($A23,'Schedule J'!$A$15:$A$41,0))*$G$10</f>
        <v>0</v>
      </c>
      <c r="X23" s="318"/>
      <c r="Y23" s="314"/>
    </row>
    <row r="24" spans="1:25" ht="13" x14ac:dyDescent="0.3">
      <c r="A24" s="53">
        <v>8</v>
      </c>
      <c r="B24" s="39" t="s">
        <v>499</v>
      </c>
      <c r="C24" s="418">
        <v>8</v>
      </c>
      <c r="D24" s="168"/>
      <c r="E24" s="299">
        <f>INDEX('Schedule J'!N$15:N$41,MATCH($A24,'Schedule J'!$A$15:$A$41,0))*$G$10</f>
        <v>0</v>
      </c>
      <c r="F24" s="56"/>
      <c r="G24" s="299">
        <f>INDEX('Schedule J'!P$15:P$41,MATCH($A24,'Schedule J'!$A$15:$A$41,0))*$G$10</f>
        <v>0</v>
      </c>
      <c r="H24" s="56"/>
      <c r="I24" s="299">
        <f>INDEX('Schedule J'!R$15:R$41,MATCH($A24,'Schedule J'!$A$15:$A$41,0))*$G$10</f>
        <v>0</v>
      </c>
      <c r="J24" s="56"/>
      <c r="K24" s="299">
        <f>INDEX('Schedule J'!T$15:T$41,MATCH($A24,'Schedule J'!$A$15:$A$41,0))*$G$10</f>
        <v>0</v>
      </c>
      <c r="L24" s="56"/>
      <c r="M24" s="299">
        <f>INDEX('Schedule J'!V$15:V$41,MATCH($A24,'Schedule J'!$A$15:$A$41,0))*$G$10</f>
        <v>0</v>
      </c>
      <c r="N24" s="56"/>
      <c r="O24" s="299">
        <f>INDEX('Schedule J'!X$15:X$41,MATCH($A24,'Schedule J'!$A$15:$A$41,0))*$G$10</f>
        <v>0</v>
      </c>
      <c r="P24" s="56"/>
      <c r="Q24" s="299">
        <f>INDEX('Schedule J'!Z$15:Z$41,MATCH($A24,'Schedule J'!$A$15:$A$41,0))*$G$10</f>
        <v>0</v>
      </c>
      <c r="R24" s="56"/>
      <c r="S24" s="299">
        <f>INDEX('Schedule J'!AB$15:AB$41,MATCH($A24,'Schedule J'!$A$15:$A$41,0))*$G$10</f>
        <v>0</v>
      </c>
      <c r="T24" s="56"/>
      <c r="U24" s="299">
        <f>INDEX('Schedule J'!AD$15:AD$41,MATCH($A24,'Schedule J'!$A$15:$A$41,0))*$G$10</f>
        <v>0</v>
      </c>
      <c r="V24" s="56"/>
      <c r="W24" s="299">
        <f>INDEX('Schedule J'!AF$15:AF$41,MATCH($A24,'Schedule J'!$A$15:$A$41,0))*$G$10</f>
        <v>0</v>
      </c>
      <c r="X24" s="318"/>
      <c r="Y24" s="314"/>
    </row>
    <row r="25" spans="1:25" ht="13" x14ac:dyDescent="0.3">
      <c r="A25" s="53">
        <v>9</v>
      </c>
      <c r="B25" s="39" t="s">
        <v>500</v>
      </c>
      <c r="C25" s="418">
        <v>9</v>
      </c>
      <c r="D25" s="168"/>
      <c r="E25" s="299">
        <f>INDEX('Schedule J'!N$15:N$41,MATCH($A25,'Schedule J'!$A$15:$A$41,0))*$G$10</f>
        <v>0</v>
      </c>
      <c r="F25" s="56"/>
      <c r="G25" s="299">
        <f>INDEX('Schedule J'!P$15:P$41,MATCH($A25,'Schedule J'!$A$15:$A$41,0))*$G$10</f>
        <v>0</v>
      </c>
      <c r="H25" s="56"/>
      <c r="I25" s="299">
        <f>INDEX('Schedule J'!R$15:R$41,MATCH($A25,'Schedule J'!$A$15:$A$41,0))*$G$10</f>
        <v>0</v>
      </c>
      <c r="J25" s="56"/>
      <c r="K25" s="299">
        <f>INDEX('Schedule J'!T$15:T$41,MATCH($A25,'Schedule J'!$A$15:$A$41,0))*$G$10</f>
        <v>0</v>
      </c>
      <c r="L25" s="56"/>
      <c r="M25" s="299">
        <f>INDEX('Schedule J'!V$15:V$41,MATCH($A25,'Schedule J'!$A$15:$A$41,0))*$G$10</f>
        <v>0</v>
      </c>
      <c r="N25" s="56"/>
      <c r="O25" s="299">
        <f>INDEX('Schedule J'!X$15:X$41,MATCH($A25,'Schedule J'!$A$15:$A$41,0))*$G$10</f>
        <v>0</v>
      </c>
      <c r="P25" s="56"/>
      <c r="Q25" s="299">
        <f>INDEX('Schedule J'!Z$15:Z$41,MATCH($A25,'Schedule J'!$A$15:$A$41,0))*$G$10</f>
        <v>0</v>
      </c>
      <c r="R25" s="56"/>
      <c r="S25" s="299">
        <f>INDEX('Schedule J'!AB$15:AB$41,MATCH($A25,'Schedule J'!$A$15:$A$41,0))*$G$10</f>
        <v>0</v>
      </c>
      <c r="T25" s="56"/>
      <c r="U25" s="299">
        <f>INDEX('Schedule J'!AD$15:AD$41,MATCH($A25,'Schedule J'!$A$15:$A$41,0))*$G$10</f>
        <v>0</v>
      </c>
      <c r="V25" s="56"/>
      <c r="W25" s="299">
        <f>INDEX('Schedule J'!AF$15:AF$41,MATCH($A25,'Schedule J'!$A$15:$A$41,0))*$G$10</f>
        <v>0</v>
      </c>
      <c r="X25" s="318"/>
      <c r="Y25" s="314"/>
    </row>
    <row r="26" spans="1:25" ht="26" x14ac:dyDescent="0.3">
      <c r="A26" s="53">
        <v>10</v>
      </c>
      <c r="B26" s="68" t="s">
        <v>501</v>
      </c>
      <c r="C26" s="418">
        <v>10</v>
      </c>
      <c r="D26" s="284"/>
      <c r="E26" s="330"/>
      <c r="F26" s="282"/>
      <c r="G26" s="330"/>
      <c r="H26" s="56"/>
      <c r="I26" s="299">
        <f>INDEX('Schedule J'!R$15:R$41,MATCH($A26,'Schedule J'!$A$15:$A$41,0))</f>
        <v>0</v>
      </c>
      <c r="J26" s="332"/>
      <c r="K26" s="330"/>
      <c r="L26" s="333"/>
      <c r="M26" s="336"/>
      <c r="N26" s="332"/>
      <c r="O26" s="330"/>
      <c r="P26" s="282"/>
      <c r="Q26" s="330"/>
      <c r="R26" s="282"/>
      <c r="S26" s="330"/>
      <c r="T26" s="332"/>
      <c r="U26" s="330"/>
      <c r="V26" s="332"/>
      <c r="W26" s="330"/>
      <c r="X26" s="318"/>
      <c r="Y26" s="314"/>
    </row>
    <row r="27" spans="1:25" ht="13.5" thickBot="1" x14ac:dyDescent="0.35">
      <c r="A27" s="53">
        <v>11</v>
      </c>
      <c r="B27" s="417" t="s">
        <v>502</v>
      </c>
      <c r="C27" s="418">
        <v>11</v>
      </c>
      <c r="D27" s="425"/>
      <c r="E27" s="299">
        <f>INDEX('Schedule J'!N$15:N$41,MATCH($A27,'Schedule J'!$A$15:$A$41,0))*$G$10</f>
        <v>0</v>
      </c>
      <c r="F27" s="136"/>
      <c r="G27" s="299">
        <f>INDEX('Schedule J'!P$15:P$41,MATCH($A27,'Schedule J'!$A$15:$A$41,0))*$G$10</f>
        <v>0</v>
      </c>
      <c r="H27" s="136"/>
      <c r="I27" s="507">
        <f>'Schedule J'!R36</f>
        <v>0</v>
      </c>
      <c r="J27" s="136"/>
      <c r="K27" s="299">
        <f>INDEX('Schedule J'!T$15:T$41,MATCH($A27,'Schedule J'!$A$15:$A$41,0))*$G$10</f>
        <v>0</v>
      </c>
      <c r="L27" s="136"/>
      <c r="M27" s="299">
        <f>INDEX('Schedule J'!V$15:V$41,MATCH($A27,'Schedule J'!$A$15:$A$41,0))*$G$10</f>
        <v>0</v>
      </c>
      <c r="N27" s="56"/>
      <c r="O27" s="299">
        <f>INDEX('Schedule J'!X$15:X$41,MATCH($A27,'Schedule J'!$A$15:$A$41,0))*$G$10</f>
        <v>0</v>
      </c>
      <c r="P27" s="56"/>
      <c r="Q27" s="299">
        <f>INDEX('Schedule J'!Z$15:Z$41,MATCH($A27,'Schedule J'!$A$15:$A$41,0))*$G$10</f>
        <v>0</v>
      </c>
      <c r="R27" s="56"/>
      <c r="S27" s="299">
        <f>INDEX('Schedule J'!AB$15:AB$41,MATCH($A27,'Schedule J'!$A$15:$A$41,0))*$G$10</f>
        <v>0</v>
      </c>
      <c r="T27" s="56"/>
      <c r="U27" s="299">
        <f>INDEX('Schedule J'!AD$15:AD$41,MATCH($A27,'Schedule J'!$A$15:$A$41,0))*$G$10</f>
        <v>0</v>
      </c>
      <c r="V27" s="56"/>
      <c r="W27" s="299">
        <f>INDEX('Schedule J'!AF$15:AF$41,MATCH($A27,'Schedule J'!$A$15:$A$41,0))*$G$10</f>
        <v>0</v>
      </c>
      <c r="X27" s="482"/>
      <c r="Y27" s="419"/>
    </row>
    <row r="28" spans="1:25" ht="13.5" thickBot="1" x14ac:dyDescent="0.35">
      <c r="A28" s="131">
        <v>12</v>
      </c>
      <c r="B28" s="42" t="s">
        <v>405</v>
      </c>
      <c r="C28" s="481">
        <v>12</v>
      </c>
      <c r="D28" s="287"/>
      <c r="E28" s="300">
        <f>SUM(E22:E27)</f>
        <v>0</v>
      </c>
      <c r="F28" s="287"/>
      <c r="G28" s="300">
        <f>SUM(G22:G27)</f>
        <v>0</v>
      </c>
      <c r="H28" s="287"/>
      <c r="I28" s="300">
        <f>SUM(I22:I27)</f>
        <v>0</v>
      </c>
      <c r="J28" s="287"/>
      <c r="K28" s="300">
        <f>SUM(K22:K27)</f>
        <v>0</v>
      </c>
      <c r="L28" s="287"/>
      <c r="M28" s="300">
        <f>SUM(M22:M27)</f>
        <v>0</v>
      </c>
      <c r="N28" s="287"/>
      <c r="O28" s="300">
        <f>SUM(O22:O27)</f>
        <v>0</v>
      </c>
      <c r="P28" s="287"/>
      <c r="Q28" s="300">
        <f>SUM(Q22:Q27)</f>
        <v>0</v>
      </c>
      <c r="R28" s="287"/>
      <c r="S28" s="300">
        <f>SUM(S22:S27)</f>
        <v>0</v>
      </c>
      <c r="T28" s="287"/>
      <c r="U28" s="300">
        <f>SUM(U22:U27)</f>
        <v>0</v>
      </c>
      <c r="V28" s="287"/>
      <c r="W28" s="300">
        <f>SUM(W22:W27)</f>
        <v>0</v>
      </c>
      <c r="X28" s="287"/>
      <c r="Y28" s="244">
        <f>SUM(E28:W28)</f>
        <v>0</v>
      </c>
    </row>
    <row r="29" spans="1:25" ht="13" x14ac:dyDescent="0.3">
      <c r="A29" s="56"/>
      <c r="B29" s="39"/>
      <c r="C29" s="56"/>
      <c r="D29" s="56"/>
      <c r="E29" s="101"/>
      <c r="F29" s="56"/>
      <c r="G29" s="101"/>
      <c r="H29" s="56"/>
      <c r="I29" s="101"/>
      <c r="J29" s="56"/>
      <c r="K29" s="101"/>
      <c r="L29" s="56"/>
      <c r="M29" s="101"/>
      <c r="N29" s="56"/>
      <c r="O29" s="101"/>
      <c r="P29" s="56"/>
      <c r="Q29" s="101"/>
      <c r="R29" s="56"/>
      <c r="S29" s="101"/>
      <c r="T29" s="56"/>
      <c r="U29" s="101"/>
      <c r="V29" s="56"/>
      <c r="W29" s="101"/>
      <c r="X29" s="56"/>
      <c r="Y29" s="78"/>
    </row>
    <row r="30" spans="1:25" ht="13" x14ac:dyDescent="0.3">
      <c r="A30" s="56"/>
      <c r="B30" s="39"/>
      <c r="C30" s="56"/>
      <c r="D30" s="56"/>
      <c r="E30" s="101"/>
      <c r="F30" s="56"/>
      <c r="G30" s="101"/>
      <c r="H30" s="56"/>
      <c r="I30" s="101"/>
      <c r="J30" s="56"/>
      <c r="K30" s="101"/>
      <c r="L30" s="56"/>
      <c r="M30" s="101"/>
      <c r="N30" s="56"/>
      <c r="O30" s="101"/>
      <c r="P30" s="56"/>
      <c r="Q30" s="101"/>
      <c r="R30" s="56"/>
      <c r="S30" s="101"/>
      <c r="T30" s="56"/>
      <c r="U30" s="101"/>
      <c r="V30" s="56"/>
      <c r="W30" s="101"/>
      <c r="X30" s="56"/>
      <c r="Y30" s="78"/>
    </row>
    <row r="31" spans="1:25" ht="13.5" thickBot="1" x14ac:dyDescent="0.35">
      <c r="A31" s="56"/>
      <c r="B31" s="39"/>
      <c r="C31" s="56"/>
      <c r="D31" s="56"/>
      <c r="E31" s="101"/>
      <c r="F31" s="56"/>
      <c r="G31" s="101"/>
      <c r="H31" s="56"/>
      <c r="I31" s="101"/>
      <c r="J31" s="56"/>
      <c r="K31" s="101"/>
      <c r="L31" s="56"/>
      <c r="M31" s="101"/>
      <c r="N31" s="56"/>
      <c r="O31" s="101"/>
      <c r="P31" s="56"/>
      <c r="Q31" s="101"/>
      <c r="R31" s="56"/>
      <c r="S31" s="101"/>
      <c r="T31" s="56"/>
      <c r="U31" s="101"/>
      <c r="V31" s="56"/>
      <c r="W31" s="101"/>
      <c r="X31" s="56"/>
      <c r="Y31" s="78"/>
    </row>
    <row r="32" spans="1:25" ht="13" thickBot="1" x14ac:dyDescent="0.3">
      <c r="B32" s="573" t="s">
        <v>547</v>
      </c>
      <c r="D32" s="486"/>
      <c r="E32" s="403"/>
      <c r="F32" s="404"/>
      <c r="G32" s="404"/>
      <c r="H32" s="487" t="s">
        <v>548</v>
      </c>
      <c r="I32" s="489">
        <f>'Basic Information'!C59</f>
        <v>0</v>
      </c>
      <c r="J32" s="485" t="s">
        <v>549</v>
      </c>
    </row>
    <row r="33" spans="1:25" ht="13" x14ac:dyDescent="0.3">
      <c r="A33" s="48"/>
      <c r="B33" s="713" t="s">
        <v>481</v>
      </c>
      <c r="C33" s="291"/>
      <c r="D33" s="710" t="s">
        <v>362</v>
      </c>
      <c r="E33" s="711"/>
      <c r="F33" s="711"/>
      <c r="G33" s="711"/>
      <c r="H33" s="711"/>
      <c r="I33" s="711"/>
      <c r="J33" s="711"/>
      <c r="K33" s="711"/>
      <c r="L33" s="711"/>
      <c r="M33" s="711"/>
      <c r="N33" s="710" t="s">
        <v>545</v>
      </c>
      <c r="O33" s="711"/>
      <c r="P33" s="711"/>
      <c r="Q33" s="711"/>
      <c r="R33" s="711"/>
      <c r="S33" s="711"/>
      <c r="T33" s="711"/>
      <c r="U33" s="711"/>
      <c r="V33" s="711"/>
      <c r="W33" s="711"/>
      <c r="X33" s="292"/>
      <c r="Y33" s="293" t="s">
        <v>546</v>
      </c>
    </row>
    <row r="34" spans="1:25" ht="42.5" thickBot="1" x14ac:dyDescent="0.35">
      <c r="A34" s="294"/>
      <c r="B34" s="714"/>
      <c r="C34" s="290"/>
      <c r="D34" s="508" t="s">
        <v>43</v>
      </c>
      <c r="E34" s="509" t="s">
        <v>483</v>
      </c>
      <c r="F34" s="510" t="s">
        <v>43</v>
      </c>
      <c r="G34" s="509" t="s">
        <v>484</v>
      </c>
      <c r="H34" s="508" t="s">
        <v>43</v>
      </c>
      <c r="I34" s="509" t="s">
        <v>370</v>
      </c>
      <c r="J34" s="510" t="s">
        <v>43</v>
      </c>
      <c r="K34" s="509" t="s">
        <v>371</v>
      </c>
      <c r="L34" s="510" t="s">
        <v>43</v>
      </c>
      <c r="M34" s="511" t="s">
        <v>372</v>
      </c>
      <c r="N34" s="304" t="s">
        <v>43</v>
      </c>
      <c r="O34" s="469" t="s">
        <v>373</v>
      </c>
      <c r="P34" s="302" t="s">
        <v>43</v>
      </c>
      <c r="Q34" s="469" t="s">
        <v>374</v>
      </c>
      <c r="R34" s="302" t="s">
        <v>43</v>
      </c>
      <c r="S34" s="469" t="s">
        <v>375</v>
      </c>
      <c r="T34" s="302" t="s">
        <v>43</v>
      </c>
      <c r="U34" s="469" t="s">
        <v>376</v>
      </c>
      <c r="V34" s="302" t="s">
        <v>43</v>
      </c>
      <c r="W34" s="469" t="s">
        <v>377</v>
      </c>
      <c r="X34" s="304" t="s">
        <v>43</v>
      </c>
      <c r="Y34" s="311" t="s">
        <v>485</v>
      </c>
    </row>
    <row r="35" spans="1:25" ht="13" x14ac:dyDescent="0.3">
      <c r="A35" s="53" t="s">
        <v>87</v>
      </c>
      <c r="B35" s="39" t="s">
        <v>378</v>
      </c>
      <c r="C35" s="480" t="s">
        <v>87</v>
      </c>
      <c r="D35" s="165"/>
      <c r="E35" s="512" t="e">
        <f>ROUND(E15/$I$32,0)</f>
        <v>#DIV/0!</v>
      </c>
      <c r="F35" s="180"/>
      <c r="G35" s="512" t="e">
        <f>ROUND(G15/$I$32,0)</f>
        <v>#DIV/0!</v>
      </c>
      <c r="H35" s="180"/>
      <c r="I35" s="512" t="e">
        <f>ROUND(I15/$I$32,0)</f>
        <v>#DIV/0!</v>
      </c>
      <c r="J35" s="180"/>
      <c r="K35" s="512" t="e">
        <f>ROUND(K15/$I$32,0)</f>
        <v>#DIV/0!</v>
      </c>
      <c r="L35" s="180"/>
      <c r="M35" s="513" t="e">
        <f>ROUND(M15/$I$32,0)</f>
        <v>#DIV/0!</v>
      </c>
      <c r="N35" s="56"/>
      <c r="O35" s="299" t="e">
        <f>ROUND(O15/$I$32,0)</f>
        <v>#DIV/0!</v>
      </c>
      <c r="P35" s="56"/>
      <c r="Q35" s="299" t="e">
        <f>ROUND(Q15/$I$32,0)</f>
        <v>#DIV/0!</v>
      </c>
      <c r="R35" s="56"/>
      <c r="S35" s="299" t="e">
        <f>ROUND(S15/$I$32,0)</f>
        <v>#DIV/0!</v>
      </c>
      <c r="T35" s="56"/>
      <c r="U35" s="299" t="e">
        <f>ROUND(U15/$I$32,0)</f>
        <v>#DIV/0!</v>
      </c>
      <c r="V35" s="56"/>
      <c r="W35" s="299" t="e">
        <f>ROUND(W15/$I$32,0)</f>
        <v>#DIV/0!</v>
      </c>
      <c r="X35" s="56"/>
      <c r="Y35" s="59" t="e">
        <f>SUM(E35:W35)</f>
        <v>#DIV/0!</v>
      </c>
    </row>
    <row r="36" spans="1:25" ht="13" x14ac:dyDescent="0.3">
      <c r="A36" s="53" t="s">
        <v>486</v>
      </c>
      <c r="B36" s="417" t="s">
        <v>379</v>
      </c>
      <c r="C36" s="418" t="s">
        <v>486</v>
      </c>
      <c r="D36" s="168"/>
      <c r="E36" s="299" t="e">
        <f t="shared" ref="E36:G47" si="0">ROUND(E16/$I$32,0)</f>
        <v>#DIV/0!</v>
      </c>
      <c r="F36" s="56"/>
      <c r="G36" s="299" t="e">
        <f t="shared" si="0"/>
        <v>#DIV/0!</v>
      </c>
      <c r="H36" s="56"/>
      <c r="I36" s="299" t="e">
        <f t="shared" ref="I36" si="1">ROUND(I16/$I$32,0)</f>
        <v>#DIV/0!</v>
      </c>
      <c r="J36" s="56"/>
      <c r="K36" s="299" t="e">
        <f t="shared" ref="K36:M36" si="2">ROUND(K16/$I$32,0)</f>
        <v>#DIV/0!</v>
      </c>
      <c r="L36" s="56"/>
      <c r="M36" s="104" t="e">
        <f t="shared" si="2"/>
        <v>#DIV/0!</v>
      </c>
      <c r="N36" s="56"/>
      <c r="O36" s="299" t="e">
        <f t="shared" ref="O36" si="3">ROUND(O16/$I$32,0)</f>
        <v>#DIV/0!</v>
      </c>
      <c r="P36" s="56"/>
      <c r="Q36" s="299" t="e">
        <f t="shared" ref="Q36" si="4">ROUND(Q16/$I$32,0)</f>
        <v>#DIV/0!</v>
      </c>
      <c r="R36" s="56"/>
      <c r="S36" s="299" t="e">
        <f t="shared" ref="S36" si="5">ROUND(S16/$I$32,0)</f>
        <v>#DIV/0!</v>
      </c>
      <c r="T36" s="56"/>
      <c r="U36" s="299" t="e">
        <f t="shared" ref="U36" si="6">ROUND(U16/$I$32,0)</f>
        <v>#DIV/0!</v>
      </c>
      <c r="V36" s="56"/>
      <c r="W36" s="299" t="e">
        <f t="shared" ref="W36" si="7">ROUND(W16/$I$32,0)</f>
        <v>#DIV/0!</v>
      </c>
      <c r="X36" s="56"/>
      <c r="Y36" s="59" t="e">
        <f>SUM(E36:W36)</f>
        <v>#DIV/0!</v>
      </c>
    </row>
    <row r="37" spans="1:25" ht="13" x14ac:dyDescent="0.3">
      <c r="A37" s="53" t="s">
        <v>487</v>
      </c>
      <c r="B37" s="39" t="s">
        <v>383</v>
      </c>
      <c r="C37" s="418" t="s">
        <v>487</v>
      </c>
      <c r="D37" s="168"/>
      <c r="E37" s="299" t="e">
        <f t="shared" si="0"/>
        <v>#DIV/0!</v>
      </c>
      <c r="F37" s="56"/>
      <c r="G37" s="299" t="e">
        <f t="shared" si="0"/>
        <v>#DIV/0!</v>
      </c>
      <c r="H37" s="56"/>
      <c r="I37" s="299" t="e">
        <f t="shared" ref="I37" si="8">ROUND(I17/$I$32,0)</f>
        <v>#DIV/0!</v>
      </c>
      <c r="J37" s="56"/>
      <c r="K37" s="299" t="e">
        <f t="shared" ref="K37:M37" si="9">ROUND(K17/$I$32,0)</f>
        <v>#DIV/0!</v>
      </c>
      <c r="L37" s="56"/>
      <c r="M37" s="104" t="e">
        <f t="shared" si="9"/>
        <v>#DIV/0!</v>
      </c>
      <c r="N37" s="56"/>
      <c r="O37" s="299" t="e">
        <f t="shared" ref="O37" si="10">ROUND(O17/$I$32,0)</f>
        <v>#DIV/0!</v>
      </c>
      <c r="P37" s="56"/>
      <c r="Q37" s="299" t="e">
        <f t="shared" ref="Q37" si="11">ROUND(Q17/$I$32,0)</f>
        <v>#DIV/0!</v>
      </c>
      <c r="R37" s="56"/>
      <c r="S37" s="299" t="e">
        <f t="shared" ref="S37" si="12">ROUND(S17/$I$32,0)</f>
        <v>#DIV/0!</v>
      </c>
      <c r="T37" s="56"/>
      <c r="U37" s="299" t="e">
        <f t="shared" ref="U37" si="13">ROUND(U17/$I$32,0)</f>
        <v>#DIV/0!</v>
      </c>
      <c r="V37" s="56"/>
      <c r="W37" s="299" t="e">
        <f t="shared" ref="W37" si="14">ROUND(W17/$I$32,0)</f>
        <v>#DIV/0!</v>
      </c>
      <c r="X37" s="66"/>
      <c r="Y37" s="59" t="e">
        <f>SUM(E37:W37)</f>
        <v>#DIV/0!</v>
      </c>
    </row>
    <row r="38" spans="1:25" ht="13" x14ac:dyDescent="0.3">
      <c r="A38" s="53">
        <v>2</v>
      </c>
      <c r="B38" s="68" t="s">
        <v>489</v>
      </c>
      <c r="C38" s="418">
        <v>2</v>
      </c>
      <c r="D38" s="168"/>
      <c r="E38" s="299" t="e">
        <f t="shared" si="0"/>
        <v>#DIV/0!</v>
      </c>
      <c r="F38" s="56"/>
      <c r="G38" s="299" t="e">
        <f t="shared" si="0"/>
        <v>#DIV/0!</v>
      </c>
      <c r="H38" s="56"/>
      <c r="I38" s="299" t="e">
        <f t="shared" ref="I38" si="15">ROUND(I18/$I$32,0)</f>
        <v>#DIV/0!</v>
      </c>
      <c r="J38" s="56"/>
      <c r="K38" s="299" t="e">
        <f t="shared" ref="K38:M38" si="16">ROUND(K18/$I$32,0)</f>
        <v>#DIV/0!</v>
      </c>
      <c r="L38" s="56"/>
      <c r="M38" s="104" t="e">
        <f t="shared" si="16"/>
        <v>#DIV/0!</v>
      </c>
      <c r="N38" s="56"/>
      <c r="O38" s="299" t="e">
        <f t="shared" ref="O38" si="17">ROUND(O18/$I$32,0)</f>
        <v>#DIV/0!</v>
      </c>
      <c r="P38" s="56"/>
      <c r="Q38" s="299" t="e">
        <f t="shared" ref="Q38" si="18">ROUND(Q18/$I$32,0)</f>
        <v>#DIV/0!</v>
      </c>
      <c r="R38" s="56"/>
      <c r="S38" s="299" t="e">
        <f t="shared" ref="S38" si="19">ROUND(S18/$I$32,0)</f>
        <v>#DIV/0!</v>
      </c>
      <c r="T38" s="56"/>
      <c r="U38" s="299" t="e">
        <f t="shared" ref="U38" si="20">ROUND(U18/$I$32,0)</f>
        <v>#DIV/0!</v>
      </c>
      <c r="V38" s="56"/>
      <c r="W38" s="299" t="e">
        <f t="shared" ref="W38" si="21">ROUND(W18/$I$32,0)</f>
        <v>#DIV/0!</v>
      </c>
      <c r="X38" s="325"/>
      <c r="Y38" s="316"/>
    </row>
    <row r="39" spans="1:25" ht="13" x14ac:dyDescent="0.3">
      <c r="A39" s="53">
        <v>3</v>
      </c>
      <c r="B39" s="39" t="s">
        <v>493</v>
      </c>
      <c r="C39" s="418">
        <v>3</v>
      </c>
      <c r="D39" s="168"/>
      <c r="E39" s="299" t="e">
        <f t="shared" si="0"/>
        <v>#DIV/0!</v>
      </c>
      <c r="F39" s="56"/>
      <c r="G39" s="299" t="e">
        <f t="shared" si="0"/>
        <v>#DIV/0!</v>
      </c>
      <c r="H39" s="56"/>
      <c r="I39" s="299" t="e">
        <f t="shared" ref="I39" si="22">ROUND(I19/$I$32,0)</f>
        <v>#DIV/0!</v>
      </c>
      <c r="J39" s="56"/>
      <c r="K39" s="299" t="e">
        <f t="shared" ref="K39:M39" si="23">ROUND(K19/$I$32,0)</f>
        <v>#DIV/0!</v>
      </c>
      <c r="L39" s="56"/>
      <c r="M39" s="104" t="e">
        <f t="shared" si="23"/>
        <v>#DIV/0!</v>
      </c>
      <c r="N39" s="56"/>
      <c r="O39" s="299" t="e">
        <f t="shared" ref="O39" si="24">ROUND(O19/$I$32,0)</f>
        <v>#DIV/0!</v>
      </c>
      <c r="P39" s="56"/>
      <c r="Q39" s="299" t="e">
        <f t="shared" ref="Q39" si="25">ROUND(Q19/$I$32,0)</f>
        <v>#DIV/0!</v>
      </c>
      <c r="R39" s="56"/>
      <c r="S39" s="299" t="e">
        <f t="shared" ref="S39" si="26">ROUND(S19/$I$32,0)</f>
        <v>#DIV/0!</v>
      </c>
      <c r="T39" s="56"/>
      <c r="U39" s="299" t="e">
        <f t="shared" ref="U39" si="27">ROUND(U19/$I$32,0)</f>
        <v>#DIV/0!</v>
      </c>
      <c r="V39" s="56"/>
      <c r="W39" s="299" t="e">
        <f t="shared" ref="W39" si="28">ROUND(W19/$I$32,0)</f>
        <v>#DIV/0!</v>
      </c>
      <c r="X39" s="56"/>
      <c r="Y39" s="59" t="e">
        <f>SUM(E39:W39)</f>
        <v>#DIV/0!</v>
      </c>
    </row>
    <row r="40" spans="1:25" ht="13" x14ac:dyDescent="0.3">
      <c r="A40" s="53">
        <v>4</v>
      </c>
      <c r="B40" s="39" t="s">
        <v>494</v>
      </c>
      <c r="C40" s="418">
        <v>4</v>
      </c>
      <c r="D40" s="168"/>
      <c r="E40" s="299" t="e">
        <f t="shared" si="0"/>
        <v>#DIV/0!</v>
      </c>
      <c r="F40" s="56"/>
      <c r="G40" s="299" t="e">
        <f t="shared" si="0"/>
        <v>#DIV/0!</v>
      </c>
      <c r="H40" s="56"/>
      <c r="I40" s="299" t="e">
        <f t="shared" ref="I40" si="29">ROUND(I20/$I$32,0)</f>
        <v>#DIV/0!</v>
      </c>
      <c r="J40" s="56"/>
      <c r="K40" s="299" t="e">
        <f t="shared" ref="K40:M40" si="30">ROUND(K20/$I$32,0)</f>
        <v>#DIV/0!</v>
      </c>
      <c r="L40" s="56"/>
      <c r="M40" s="104" t="e">
        <f t="shared" si="30"/>
        <v>#DIV/0!</v>
      </c>
      <c r="N40" s="56"/>
      <c r="O40" s="299" t="e">
        <f t="shared" ref="O40" si="31">ROUND(O20/$I$32,0)</f>
        <v>#DIV/0!</v>
      </c>
      <c r="P40" s="56"/>
      <c r="Q40" s="299" t="e">
        <f t="shared" ref="Q40" si="32">ROUND(Q20/$I$32,0)</f>
        <v>#DIV/0!</v>
      </c>
      <c r="R40" s="56"/>
      <c r="S40" s="299" t="e">
        <f t="shared" ref="S40" si="33">ROUND(S20/$I$32,0)</f>
        <v>#DIV/0!</v>
      </c>
      <c r="T40" s="56"/>
      <c r="U40" s="299" t="e">
        <f t="shared" ref="U40" si="34">ROUND(U20/$I$32,0)</f>
        <v>#DIV/0!</v>
      </c>
      <c r="V40" s="56"/>
      <c r="W40" s="299" t="e">
        <f t="shared" ref="W40" si="35">ROUND(W20/$I$32,0)</f>
        <v>#DIV/0!</v>
      </c>
      <c r="X40" s="325"/>
      <c r="Y40" s="323"/>
    </row>
    <row r="41" spans="1:25" ht="13" x14ac:dyDescent="0.3">
      <c r="A41" s="53">
        <v>5</v>
      </c>
      <c r="B41" s="417" t="s">
        <v>496</v>
      </c>
      <c r="C41" s="418">
        <v>5</v>
      </c>
      <c r="D41" s="168"/>
      <c r="E41" s="299" t="e">
        <f t="shared" si="0"/>
        <v>#DIV/0!</v>
      </c>
      <c r="F41" s="56"/>
      <c r="G41" s="299" t="e">
        <f t="shared" si="0"/>
        <v>#DIV/0!</v>
      </c>
      <c r="H41" s="56"/>
      <c r="I41" s="299" t="e">
        <f t="shared" ref="I41" si="36">ROUND(I21/$I$32,0)</f>
        <v>#DIV/0!</v>
      </c>
      <c r="J41" s="56"/>
      <c r="K41" s="299" t="e">
        <f t="shared" ref="K41:M41" si="37">ROUND(K21/$I$32,0)</f>
        <v>#DIV/0!</v>
      </c>
      <c r="L41" s="56"/>
      <c r="M41" s="104" t="e">
        <f t="shared" si="37"/>
        <v>#DIV/0!</v>
      </c>
      <c r="N41" s="56"/>
      <c r="O41" s="299" t="e">
        <f t="shared" ref="O41" si="38">ROUND(O21/$I$32,0)</f>
        <v>#DIV/0!</v>
      </c>
      <c r="P41" s="56"/>
      <c r="Q41" s="299" t="e">
        <f t="shared" ref="Q41" si="39">ROUND(Q21/$I$32,0)</f>
        <v>#DIV/0!</v>
      </c>
      <c r="R41" s="56"/>
      <c r="S41" s="299" t="e">
        <f t="shared" ref="S41" si="40">ROUND(S21/$I$32,0)</f>
        <v>#DIV/0!</v>
      </c>
      <c r="T41" s="56"/>
      <c r="U41" s="299" t="e">
        <f t="shared" ref="U41" si="41">ROUND(U21/$I$32,0)</f>
        <v>#DIV/0!</v>
      </c>
      <c r="V41" s="56"/>
      <c r="W41" s="299" t="e">
        <f t="shared" ref="W41" si="42">ROUND(W21/$I$32,0)</f>
        <v>#DIV/0!</v>
      </c>
      <c r="X41" s="318"/>
      <c r="Y41" s="314"/>
    </row>
    <row r="42" spans="1:25" ht="13" x14ac:dyDescent="0.3">
      <c r="A42" s="53">
        <v>6</v>
      </c>
      <c r="B42" s="39" t="s">
        <v>497</v>
      </c>
      <c r="C42" s="418">
        <v>6</v>
      </c>
      <c r="D42" s="168"/>
      <c r="E42" s="299" t="e">
        <f t="shared" si="0"/>
        <v>#DIV/0!</v>
      </c>
      <c r="F42" s="56"/>
      <c r="G42" s="299" t="e">
        <f t="shared" si="0"/>
        <v>#DIV/0!</v>
      </c>
      <c r="H42" s="56"/>
      <c r="I42" s="299" t="e">
        <f t="shared" ref="I42" si="43">ROUND(I22/$I$32,0)</f>
        <v>#DIV/0!</v>
      </c>
      <c r="J42" s="56"/>
      <c r="K42" s="299" t="e">
        <f t="shared" ref="K42:M42" si="44">ROUND(K22/$I$32,0)</f>
        <v>#DIV/0!</v>
      </c>
      <c r="L42" s="56"/>
      <c r="M42" s="104" t="e">
        <f t="shared" si="44"/>
        <v>#DIV/0!</v>
      </c>
      <c r="N42" s="56"/>
      <c r="O42" s="299" t="e">
        <f t="shared" ref="O42" si="45">ROUND(O22/$I$32,0)</f>
        <v>#DIV/0!</v>
      </c>
      <c r="P42" s="56"/>
      <c r="Q42" s="299" t="e">
        <f t="shared" ref="Q42" si="46">ROUND(Q22/$I$32,0)</f>
        <v>#DIV/0!</v>
      </c>
      <c r="R42" s="56"/>
      <c r="S42" s="299" t="e">
        <f t="shared" ref="S42" si="47">ROUND(S22/$I$32,0)</f>
        <v>#DIV/0!</v>
      </c>
      <c r="T42" s="56"/>
      <c r="U42" s="299" t="e">
        <f t="shared" ref="U42" si="48">ROUND(U22/$I$32,0)</f>
        <v>#DIV/0!</v>
      </c>
      <c r="V42" s="56"/>
      <c r="W42" s="299" t="e">
        <f t="shared" ref="W42:W45" si="49">ROUND(W22/$I$32,0)</f>
        <v>#DIV/0!</v>
      </c>
      <c r="X42" s="318"/>
      <c r="Y42" s="314"/>
    </row>
    <row r="43" spans="1:25" ht="13" x14ac:dyDescent="0.3">
      <c r="A43" s="53">
        <v>7</v>
      </c>
      <c r="B43" s="39" t="s">
        <v>498</v>
      </c>
      <c r="C43" s="418">
        <v>7</v>
      </c>
      <c r="D43" s="284"/>
      <c r="E43" s="330"/>
      <c r="F43" s="332"/>
      <c r="G43" s="330"/>
      <c r="H43" s="332"/>
      <c r="I43" s="330"/>
      <c r="J43" s="332"/>
      <c r="K43" s="330"/>
      <c r="L43" s="332"/>
      <c r="M43" s="338"/>
      <c r="N43" s="56"/>
      <c r="O43" s="299" t="e">
        <f>ROUND(O23/$I$32,0)</f>
        <v>#DIV/0!</v>
      </c>
      <c r="P43" s="67"/>
      <c r="Q43" s="299" t="e">
        <f>ROUND(Q23/$I$32,0)</f>
        <v>#DIV/0!</v>
      </c>
      <c r="R43" s="67"/>
      <c r="S43" s="299" t="e">
        <f>ROUND(S23/$I$32,0)</f>
        <v>#DIV/0!</v>
      </c>
      <c r="T43" s="67"/>
      <c r="U43" s="299" t="e">
        <f>ROUND(U23/$I$32,0)</f>
        <v>#DIV/0!</v>
      </c>
      <c r="V43" s="67"/>
      <c r="W43" s="299" t="e">
        <f>ROUND(W23/$I$32,0)</f>
        <v>#DIV/0!</v>
      </c>
      <c r="X43" s="318"/>
      <c r="Y43" s="314"/>
    </row>
    <row r="44" spans="1:25" ht="13" x14ac:dyDescent="0.3">
      <c r="A44" s="53">
        <v>8</v>
      </c>
      <c r="B44" s="39" t="s">
        <v>499</v>
      </c>
      <c r="C44" s="418">
        <v>8</v>
      </c>
      <c r="D44" s="168"/>
      <c r="E44" s="299" t="e">
        <f t="shared" si="0"/>
        <v>#DIV/0!</v>
      </c>
      <c r="F44" s="56"/>
      <c r="G44" s="299" t="e">
        <f t="shared" si="0"/>
        <v>#DIV/0!</v>
      </c>
      <c r="H44" s="56"/>
      <c r="I44" s="299" t="e">
        <f t="shared" ref="I44" si="50">ROUND(I24/$I$32,0)</f>
        <v>#DIV/0!</v>
      </c>
      <c r="J44" s="56"/>
      <c r="K44" s="299" t="e">
        <f t="shared" ref="K44:M44" si="51">ROUND(K24/$I$32,0)</f>
        <v>#DIV/0!</v>
      </c>
      <c r="L44" s="56"/>
      <c r="M44" s="104" t="e">
        <f t="shared" si="51"/>
        <v>#DIV/0!</v>
      </c>
      <c r="N44" s="56"/>
      <c r="O44" s="299" t="e">
        <f t="shared" ref="O44" si="52">ROUND(O24/$I$32,0)</f>
        <v>#DIV/0!</v>
      </c>
      <c r="P44" s="56"/>
      <c r="Q44" s="299" t="e">
        <f t="shared" ref="Q44" si="53">ROUND(Q24/$I$32,0)</f>
        <v>#DIV/0!</v>
      </c>
      <c r="R44" s="56"/>
      <c r="S44" s="299" t="e">
        <f t="shared" ref="S44" si="54">ROUND(S24/$I$32,0)</f>
        <v>#DIV/0!</v>
      </c>
      <c r="T44" s="56"/>
      <c r="U44" s="299" t="e">
        <f t="shared" ref="U44" si="55">ROUND(U24/$I$32,0)</f>
        <v>#DIV/0!</v>
      </c>
      <c r="V44" s="56"/>
      <c r="W44" s="299" t="e">
        <f t="shared" si="49"/>
        <v>#DIV/0!</v>
      </c>
      <c r="X44" s="318"/>
      <c r="Y44" s="314"/>
    </row>
    <row r="45" spans="1:25" ht="13" x14ac:dyDescent="0.3">
      <c r="A45" s="53">
        <v>9</v>
      </c>
      <c r="B45" s="39" t="s">
        <v>500</v>
      </c>
      <c r="C45" s="418">
        <v>9</v>
      </c>
      <c r="D45" s="168"/>
      <c r="E45" s="299" t="e">
        <f t="shared" si="0"/>
        <v>#DIV/0!</v>
      </c>
      <c r="F45" s="56"/>
      <c r="G45" s="299" t="e">
        <f t="shared" si="0"/>
        <v>#DIV/0!</v>
      </c>
      <c r="H45" s="56"/>
      <c r="I45" s="299" t="e">
        <f t="shared" ref="I45:I47" si="56">ROUND(I25/$I$32,0)</f>
        <v>#DIV/0!</v>
      </c>
      <c r="J45" s="56"/>
      <c r="K45" s="299" t="e">
        <f t="shared" ref="K45" si="57">ROUND(K25/$I$32,0)</f>
        <v>#DIV/0!</v>
      </c>
      <c r="L45" s="325"/>
      <c r="M45" s="326"/>
      <c r="N45" s="56"/>
      <c r="O45" s="299" t="e">
        <f t="shared" ref="O45" si="58">ROUND(O25/$I$32,0)</f>
        <v>#DIV/0!</v>
      </c>
      <c r="P45" s="56"/>
      <c r="Q45" s="299" t="e">
        <f t="shared" ref="Q45" si="59">ROUND(Q25/$I$32,0)</f>
        <v>#DIV/0!</v>
      </c>
      <c r="R45" s="56"/>
      <c r="S45" s="299" t="e">
        <f t="shared" ref="S45" si="60">ROUND(S25/$I$32,0)</f>
        <v>#DIV/0!</v>
      </c>
      <c r="T45" s="56"/>
      <c r="U45" s="299" t="e">
        <f t="shared" ref="U45" si="61">ROUND(U25/$I$32,0)</f>
        <v>#DIV/0!</v>
      </c>
      <c r="V45" s="56"/>
      <c r="W45" s="299" t="e">
        <f t="shared" si="49"/>
        <v>#DIV/0!</v>
      </c>
      <c r="X45" s="318"/>
      <c r="Y45" s="314"/>
    </row>
    <row r="46" spans="1:25" ht="26" x14ac:dyDescent="0.3">
      <c r="A46" s="53">
        <v>10</v>
      </c>
      <c r="B46" s="68" t="s">
        <v>501</v>
      </c>
      <c r="C46" s="418">
        <v>10</v>
      </c>
      <c r="D46" s="284"/>
      <c r="E46" s="330"/>
      <c r="F46" s="282"/>
      <c r="G46" s="330"/>
      <c r="H46" s="56"/>
      <c r="I46" s="299" t="e">
        <f t="shared" si="56"/>
        <v>#DIV/0!</v>
      </c>
      <c r="J46" s="332"/>
      <c r="K46" s="330"/>
      <c r="L46" s="333"/>
      <c r="M46" s="336"/>
      <c r="N46" s="332"/>
      <c r="O46" s="330"/>
      <c r="P46" s="282"/>
      <c r="Q46" s="330"/>
      <c r="R46" s="282"/>
      <c r="S46" s="330"/>
      <c r="T46" s="332"/>
      <c r="U46" s="330"/>
      <c r="V46" s="332"/>
      <c r="W46" s="330"/>
      <c r="X46" s="318"/>
      <c r="Y46" s="314"/>
    </row>
    <row r="47" spans="1:25" ht="13.5" thickBot="1" x14ac:dyDescent="0.35">
      <c r="A47" s="53">
        <v>11</v>
      </c>
      <c r="B47" s="417" t="s">
        <v>502</v>
      </c>
      <c r="C47" s="418">
        <v>11</v>
      </c>
      <c r="D47" s="425"/>
      <c r="E47" s="507" t="e">
        <f t="shared" si="0"/>
        <v>#DIV/0!</v>
      </c>
      <c r="F47" s="136"/>
      <c r="G47" s="507" t="e">
        <f t="shared" si="0"/>
        <v>#DIV/0!</v>
      </c>
      <c r="H47" s="136"/>
      <c r="I47" s="507" t="e">
        <f t="shared" si="56"/>
        <v>#DIV/0!</v>
      </c>
      <c r="J47" s="136"/>
      <c r="K47" s="507" t="e">
        <f t="shared" ref="K47:M47" si="62">ROUND(K27/$I$32,0)</f>
        <v>#DIV/0!</v>
      </c>
      <c r="L47" s="136"/>
      <c r="M47" s="285" t="e">
        <f t="shared" si="62"/>
        <v>#DIV/0!</v>
      </c>
      <c r="N47" s="56"/>
      <c r="O47" s="299" t="e">
        <f t="shared" ref="O47" si="63">ROUND(O27/$I$32,0)</f>
        <v>#DIV/0!</v>
      </c>
      <c r="P47" s="56"/>
      <c r="Q47" s="299" t="e">
        <f t="shared" ref="Q47" si="64">ROUND(Q27/$I$32,0)</f>
        <v>#DIV/0!</v>
      </c>
      <c r="R47" s="56"/>
      <c r="S47" s="299" t="e">
        <f t="shared" ref="S47" si="65">ROUND(S27/$I$32,0)</f>
        <v>#DIV/0!</v>
      </c>
      <c r="T47" s="56"/>
      <c r="U47" s="299" t="e">
        <f t="shared" ref="U47:W47" si="66">ROUND(U27/$I$32,0)</f>
        <v>#DIV/0!</v>
      </c>
      <c r="V47" s="56"/>
      <c r="W47" s="299" t="e">
        <f t="shared" si="66"/>
        <v>#DIV/0!</v>
      </c>
      <c r="X47" s="482"/>
      <c r="Y47" s="419"/>
    </row>
    <row r="48" spans="1:25" ht="13.5" thickBot="1" x14ac:dyDescent="0.35">
      <c r="A48" s="131">
        <v>12</v>
      </c>
      <c r="B48" s="42" t="s">
        <v>405</v>
      </c>
      <c r="C48" s="481">
        <v>12</v>
      </c>
      <c r="D48" s="287"/>
      <c r="E48" s="300" t="e">
        <f>SUM(E42:E47)</f>
        <v>#DIV/0!</v>
      </c>
      <c r="F48" s="287"/>
      <c r="G48" s="300" t="e">
        <f>SUM(G42:G47)</f>
        <v>#DIV/0!</v>
      </c>
      <c r="H48" s="287"/>
      <c r="I48" s="300" t="e">
        <f>SUM(I42:I47)</f>
        <v>#DIV/0!</v>
      </c>
      <c r="J48" s="287"/>
      <c r="K48" s="300" t="e">
        <f>SUM(K42:K47)</f>
        <v>#DIV/0!</v>
      </c>
      <c r="L48" s="287"/>
      <c r="M48" s="300" t="e">
        <f>SUM(M42:M47)</f>
        <v>#DIV/0!</v>
      </c>
      <c r="N48" s="287"/>
      <c r="O48" s="300" t="e">
        <f>SUM(O42:O47)</f>
        <v>#DIV/0!</v>
      </c>
      <c r="P48" s="287"/>
      <c r="Q48" s="300" t="e">
        <f>SUM(Q42:Q47)</f>
        <v>#DIV/0!</v>
      </c>
      <c r="R48" s="287"/>
      <c r="S48" s="300" t="e">
        <f>SUM(S42:S47)</f>
        <v>#DIV/0!</v>
      </c>
      <c r="T48" s="287"/>
      <c r="U48" s="300" t="e">
        <f>SUM(U42:U47)</f>
        <v>#DIV/0!</v>
      </c>
      <c r="V48" s="287"/>
      <c r="W48" s="300" t="e">
        <f>SUM(W42:W47)</f>
        <v>#DIV/0!</v>
      </c>
      <c r="X48" s="287"/>
      <c r="Y48" s="244" t="e">
        <f>SUM(E48:W48)</f>
        <v>#DIV/0!</v>
      </c>
    </row>
    <row r="49" spans="5:5" x14ac:dyDescent="0.25">
      <c r="E49" s="488"/>
    </row>
  </sheetData>
  <mergeCells count="10">
    <mergeCell ref="N13:W13"/>
    <mergeCell ref="B33:B34"/>
    <mergeCell ref="D33:M33"/>
    <mergeCell ref="N33:W33"/>
    <mergeCell ref="A1:L1"/>
    <mergeCell ref="A2:L2"/>
    <mergeCell ref="A3:L3"/>
    <mergeCell ref="A4:L4"/>
    <mergeCell ref="B13:B14"/>
    <mergeCell ref="D13:M13"/>
  </mergeCells>
  <dataValidations count="1">
    <dataValidation type="list" allowBlank="1" showInputMessage="1" showErrorMessage="1" sqref="B10" xr:uid="{00000000-0002-0000-0C00-000000000000}">
      <formula1>$M$1:$M$6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>
    <tabColor theme="3"/>
  </sheetPr>
  <dimension ref="A1:AF64"/>
  <sheetViews>
    <sheetView workbookViewId="0"/>
  </sheetViews>
  <sheetFormatPr defaultColWidth="9.7265625" defaultRowHeight="12.5" x14ac:dyDescent="0.25"/>
  <cols>
    <col min="1" max="1" width="3.54296875" style="15" customWidth="1"/>
    <col min="2" max="2" width="6.54296875" style="15" bestFit="1" customWidth="1"/>
    <col min="3" max="3" width="49.54296875" style="15" customWidth="1"/>
    <col min="4" max="4" width="4.54296875" style="15" customWidth="1"/>
    <col min="5" max="5" width="6" style="15" customWidth="1"/>
    <col min="6" max="6" width="6.26953125" style="15" customWidth="1"/>
    <col min="7" max="7" width="5.1796875" style="15" customWidth="1"/>
    <col min="8" max="8" width="16.54296875" style="15" customWidth="1"/>
    <col min="9" max="9" width="5.1796875" style="15" customWidth="1"/>
    <col min="10" max="10" width="16.54296875" style="15" customWidth="1"/>
    <col min="11" max="11" width="5.1796875" style="15" customWidth="1"/>
    <col min="12" max="12" width="16.54296875" style="15" customWidth="1"/>
    <col min="13" max="13" width="5.1796875" style="15" customWidth="1"/>
    <col min="14" max="14" width="16.81640625" style="15" customWidth="1"/>
    <col min="15" max="15" width="5.1796875" style="15" customWidth="1"/>
    <col min="16" max="16" width="13.81640625" style="15" customWidth="1"/>
    <col min="17" max="17" width="5.1796875" style="15" customWidth="1"/>
    <col min="18" max="18" width="16.54296875" style="15" customWidth="1"/>
    <col min="19" max="19" width="5.1796875" style="15" customWidth="1"/>
    <col min="20" max="20" width="15.54296875" style="15" customWidth="1"/>
    <col min="21" max="21" width="5.1796875" style="15" customWidth="1"/>
    <col min="22" max="22" width="16.54296875" style="15" customWidth="1"/>
    <col min="23" max="23" width="5.1796875" style="15" customWidth="1"/>
    <col min="24" max="24" width="16.81640625" style="15" customWidth="1"/>
    <col min="25" max="25" width="5.1796875" style="15" customWidth="1"/>
    <col min="26" max="26" width="13.81640625" style="15" customWidth="1"/>
    <col min="27" max="27" width="5.1796875" style="15" customWidth="1"/>
    <col min="28" max="28" width="16" style="15" customWidth="1"/>
    <col min="29" max="29" width="5.1796875" style="15" customWidth="1"/>
    <col min="30" max="30" width="16.7265625" style="15" customWidth="1"/>
    <col min="31" max="31" width="5.1796875" style="15" customWidth="1"/>
    <col min="32" max="32" width="6.453125" style="15" customWidth="1"/>
    <col min="33" max="16384" width="9.7265625" style="15"/>
  </cols>
  <sheetData>
    <row r="1" spans="1:32" customFormat="1" ht="13" x14ac:dyDescent="0.3">
      <c r="B1" s="717">
        <f>'Basic Information'!B4</f>
        <v>0</v>
      </c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9"/>
      <c r="N1" s="464" t="s">
        <v>308</v>
      </c>
      <c r="X1" s="464" t="s">
        <v>308</v>
      </c>
    </row>
    <row r="2" spans="1:32" customFormat="1" x14ac:dyDescent="0.25">
      <c r="B2" s="720" t="s">
        <v>550</v>
      </c>
      <c r="C2" s="721"/>
      <c r="D2" s="721"/>
      <c r="E2" s="721"/>
      <c r="F2" s="721"/>
      <c r="G2" s="721"/>
      <c r="H2" s="721"/>
      <c r="I2" s="721"/>
      <c r="J2" s="721"/>
      <c r="K2" s="721"/>
      <c r="L2" s="721"/>
      <c r="M2" s="722"/>
      <c r="N2" s="464" t="s">
        <v>310</v>
      </c>
      <c r="X2" s="464" t="s">
        <v>310</v>
      </c>
    </row>
    <row r="3" spans="1:32" customFormat="1" x14ac:dyDescent="0.25">
      <c r="B3" s="723" t="str">
        <f>'Basic Information'!B1</f>
        <v>12/31/24</v>
      </c>
      <c r="C3" s="721"/>
      <c r="D3" s="721"/>
      <c r="E3" s="721"/>
      <c r="F3" s="721"/>
      <c r="G3" s="721"/>
      <c r="H3" s="721"/>
      <c r="I3" s="721"/>
      <c r="J3" s="721"/>
      <c r="K3" s="721"/>
      <c r="L3" s="721"/>
      <c r="M3" s="722"/>
      <c r="N3" s="464" t="s">
        <v>311</v>
      </c>
      <c r="X3" s="464" t="s">
        <v>311</v>
      </c>
    </row>
    <row r="4" spans="1:32" customFormat="1" x14ac:dyDescent="0.25">
      <c r="B4" s="724" t="s">
        <v>312</v>
      </c>
      <c r="C4" s="725"/>
      <c r="D4" s="725"/>
      <c r="E4" s="725"/>
      <c r="F4" s="725"/>
      <c r="G4" s="725"/>
      <c r="H4" s="725"/>
      <c r="I4" s="725"/>
      <c r="J4" s="725"/>
      <c r="K4" s="725"/>
      <c r="L4" s="725"/>
      <c r="M4" s="726"/>
      <c r="N4" s="464" t="s">
        <v>313</v>
      </c>
    </row>
    <row r="5" spans="1:32" customFormat="1" ht="13.5" thickBot="1" x14ac:dyDescent="0.35">
      <c r="B5" s="552"/>
      <c r="C5" s="557"/>
      <c r="D5" s="558"/>
      <c r="E5" s="558"/>
      <c r="F5" s="553"/>
      <c r="G5" s="553"/>
      <c r="H5" s="553"/>
      <c r="I5" s="553"/>
      <c r="J5" s="553"/>
      <c r="K5" s="559"/>
      <c r="L5" s="559"/>
      <c r="M5" s="560"/>
      <c r="N5" s="464" t="s">
        <v>314</v>
      </c>
    </row>
    <row r="6" spans="1:32" customFormat="1" ht="4.5" customHeight="1" x14ac:dyDescent="0.25">
      <c r="N6" s="464" t="s">
        <v>315</v>
      </c>
    </row>
    <row r="7" spans="1:32" customFormat="1" x14ac:dyDescent="0.25"/>
    <row r="8" spans="1:32" customFormat="1" ht="13" thickBot="1" x14ac:dyDescent="0.3"/>
    <row r="9" spans="1:32" customFormat="1" ht="13" thickBot="1" x14ac:dyDescent="0.3">
      <c r="C9" s="466" t="s">
        <v>316</v>
      </c>
      <c r="G9" s="11"/>
    </row>
    <row r="10" spans="1:32" customFormat="1" ht="13" thickBot="1" x14ac:dyDescent="0.3">
      <c r="C10" s="561"/>
    </row>
    <row r="11" spans="1:32" customFormat="1" x14ac:dyDescent="0.25"/>
    <row r="12" spans="1:32" customFormat="1" x14ac:dyDescent="0.25">
      <c r="A12" s="483"/>
    </row>
    <row r="13" spans="1:32" customFormat="1" ht="15.75" customHeight="1" thickBot="1" x14ac:dyDescent="0.35">
      <c r="B13" s="270"/>
      <c r="C13" s="730" t="s">
        <v>551</v>
      </c>
      <c r="D13" s="432"/>
      <c r="E13" s="273"/>
      <c r="F13" s="521"/>
      <c r="G13" s="432"/>
      <c r="H13" s="521"/>
      <c r="I13" s="432"/>
      <c r="J13" s="432"/>
      <c r="K13" s="432"/>
      <c r="L13" s="432"/>
      <c r="M13" s="370"/>
      <c r="N13" s="370"/>
      <c r="O13" s="370"/>
      <c r="P13" s="370"/>
      <c r="Q13" s="370"/>
      <c r="R13" s="370"/>
      <c r="S13" s="370"/>
      <c r="T13" s="370"/>
      <c r="U13" s="370"/>
      <c r="V13" s="370"/>
      <c r="W13" s="370"/>
      <c r="X13" s="370"/>
      <c r="Y13" s="370"/>
      <c r="Z13" s="370"/>
      <c r="AA13" s="370"/>
      <c r="AB13" s="370"/>
      <c r="AC13" s="370"/>
      <c r="AD13" s="370"/>
      <c r="AE13" s="370"/>
      <c r="AF13" s="370"/>
    </row>
    <row r="14" spans="1:32" customFormat="1" ht="46.5" customHeight="1" x14ac:dyDescent="0.3">
      <c r="B14" s="270"/>
      <c r="C14" s="730"/>
      <c r="D14" s="432"/>
      <c r="E14" s="525" t="s">
        <v>43</v>
      </c>
      <c r="F14" s="532" t="s">
        <v>552</v>
      </c>
      <c r="G14" s="526" t="s">
        <v>43</v>
      </c>
      <c r="H14" s="532" t="s">
        <v>553</v>
      </c>
      <c r="I14" s="526" t="s">
        <v>43</v>
      </c>
      <c r="J14" s="532" t="s">
        <v>554</v>
      </c>
      <c r="K14" s="526" t="s">
        <v>43</v>
      </c>
      <c r="L14" s="532" t="s">
        <v>555</v>
      </c>
      <c r="M14" s="526" t="s">
        <v>43</v>
      </c>
      <c r="N14" s="532" t="s">
        <v>556</v>
      </c>
      <c r="O14" s="526" t="s">
        <v>43</v>
      </c>
      <c r="P14" s="532" t="s">
        <v>557</v>
      </c>
      <c r="Q14" s="526" t="s">
        <v>43</v>
      </c>
      <c r="R14" s="532" t="s">
        <v>558</v>
      </c>
      <c r="S14" s="526" t="s">
        <v>43</v>
      </c>
      <c r="T14" s="532" t="s">
        <v>559</v>
      </c>
      <c r="U14" s="526" t="s">
        <v>43</v>
      </c>
      <c r="V14" s="532" t="s">
        <v>560</v>
      </c>
      <c r="W14" s="526" t="s">
        <v>43</v>
      </c>
      <c r="X14" s="532" t="s">
        <v>561</v>
      </c>
      <c r="Y14" s="526" t="s">
        <v>43</v>
      </c>
      <c r="Z14" s="532" t="s">
        <v>562</v>
      </c>
      <c r="AA14" s="526" t="s">
        <v>43</v>
      </c>
      <c r="AB14" s="532" t="s">
        <v>563</v>
      </c>
      <c r="AC14" s="526" t="s">
        <v>43</v>
      </c>
      <c r="AD14" s="532" t="s">
        <v>564</v>
      </c>
      <c r="AE14" s="526" t="s">
        <v>43</v>
      </c>
      <c r="AF14" s="527" t="s">
        <v>565</v>
      </c>
    </row>
    <row r="15" spans="1:32" ht="13" x14ac:dyDescent="0.3">
      <c r="A15" s="484"/>
      <c r="B15" s="56">
        <v>1</v>
      </c>
      <c r="C15" s="39" t="s">
        <v>566</v>
      </c>
      <c r="D15" s="56"/>
      <c r="E15" s="168"/>
      <c r="F15" s="533"/>
      <c r="G15" s="56"/>
      <c r="H15" s="533"/>
      <c r="I15" s="56"/>
      <c r="J15" s="533"/>
      <c r="K15" s="56"/>
      <c r="L15" s="533"/>
      <c r="M15" s="56"/>
      <c r="N15" s="533"/>
      <c r="O15" s="56"/>
      <c r="P15" s="537"/>
      <c r="Q15" s="56"/>
      <c r="R15" s="533"/>
      <c r="S15" s="56"/>
      <c r="T15" s="537"/>
      <c r="U15" s="56"/>
      <c r="V15" s="533"/>
      <c r="W15" s="56"/>
      <c r="X15" s="537"/>
      <c r="Y15" s="56"/>
      <c r="Z15" s="537"/>
      <c r="AA15" s="56"/>
      <c r="AB15" s="537"/>
      <c r="AC15" s="56"/>
      <c r="AD15" s="537"/>
      <c r="AE15" s="56"/>
      <c r="AF15" s="528"/>
    </row>
    <row r="16" spans="1:32" ht="13" x14ac:dyDescent="0.3">
      <c r="A16" s="484"/>
      <c r="B16" s="56" t="s">
        <v>87</v>
      </c>
      <c r="C16" s="39" t="s">
        <v>567</v>
      </c>
      <c r="D16" s="56"/>
      <c r="E16" s="168"/>
      <c r="F16" s="540"/>
      <c r="G16" s="101"/>
      <c r="H16" s="575">
        <f>SUM(H17:H19)</f>
        <v>0</v>
      </c>
      <c r="I16" s="101"/>
      <c r="J16" s="575">
        <f>SUM(J17:J19)</f>
        <v>0</v>
      </c>
      <c r="K16" s="101"/>
      <c r="L16" s="575">
        <f>SUM(L17:L19)</f>
        <v>0</v>
      </c>
      <c r="M16" s="101"/>
      <c r="N16" s="575">
        <f>SUM(N17:N19)</f>
        <v>0</v>
      </c>
      <c r="O16" s="101"/>
      <c r="P16" s="575">
        <f>SUM(P17:P19)</f>
        <v>0</v>
      </c>
      <c r="Q16" s="101"/>
      <c r="R16" s="575">
        <f>SUM(R17:R19)</f>
        <v>0</v>
      </c>
      <c r="S16" s="101"/>
      <c r="T16" s="575">
        <f>SUM(T17:T19)</f>
        <v>0</v>
      </c>
      <c r="U16" s="101"/>
      <c r="V16" s="575">
        <f>SUM(V17:V19)</f>
        <v>0</v>
      </c>
      <c r="W16" s="101"/>
      <c r="X16" s="575">
        <f>SUM(X17:X19)</f>
        <v>0</v>
      </c>
      <c r="Y16" s="101"/>
      <c r="Z16" s="575">
        <f>SUM(Z17:Z19)</f>
        <v>0</v>
      </c>
      <c r="AA16" s="101"/>
      <c r="AB16" s="575">
        <f>SUM(AB17:AB19)</f>
        <v>0</v>
      </c>
      <c r="AC16" s="101"/>
      <c r="AD16" s="575">
        <f>SUM(AD17:AD19)</f>
        <v>0</v>
      </c>
      <c r="AE16" s="101"/>
      <c r="AF16" s="538"/>
    </row>
    <row r="17" spans="1:32" ht="13" x14ac:dyDescent="0.3">
      <c r="A17" s="484"/>
      <c r="B17" s="56"/>
      <c r="C17" s="522" t="s">
        <v>568</v>
      </c>
      <c r="D17" s="56"/>
      <c r="E17" s="168"/>
      <c r="F17" s="574"/>
      <c r="G17" s="101"/>
      <c r="H17" s="574">
        <v>0</v>
      </c>
      <c r="I17" s="101"/>
      <c r="J17" s="574">
        <v>0</v>
      </c>
      <c r="K17" s="101"/>
      <c r="L17" s="574">
        <v>0</v>
      </c>
      <c r="M17" s="101"/>
      <c r="N17" s="574">
        <v>0</v>
      </c>
      <c r="O17" s="101"/>
      <c r="P17" s="574">
        <v>0</v>
      </c>
      <c r="Q17" s="101"/>
      <c r="R17" s="574">
        <v>0</v>
      </c>
      <c r="S17" s="101"/>
      <c r="T17" s="574">
        <v>0</v>
      </c>
      <c r="U17" s="101"/>
      <c r="V17" s="574">
        <v>0</v>
      </c>
      <c r="W17" s="101"/>
      <c r="X17" s="574">
        <v>0</v>
      </c>
      <c r="Y17" s="101"/>
      <c r="Z17" s="574">
        <f>H17-(J17+L17+N17+P17+R17+T17+V17+X17)</f>
        <v>0</v>
      </c>
      <c r="AA17" s="101"/>
      <c r="AB17" s="574">
        <v>0</v>
      </c>
      <c r="AC17" s="101"/>
      <c r="AD17" s="574">
        <v>0</v>
      </c>
      <c r="AE17" s="101"/>
      <c r="AF17" s="570"/>
    </row>
    <row r="18" spans="1:32" ht="13" x14ac:dyDescent="0.3">
      <c r="A18" s="484"/>
      <c r="B18" s="56"/>
      <c r="C18" s="522" t="s">
        <v>569</v>
      </c>
      <c r="D18" s="56"/>
      <c r="E18" s="168"/>
      <c r="F18" s="574"/>
      <c r="G18" s="101"/>
      <c r="H18" s="574">
        <v>0</v>
      </c>
      <c r="I18" s="101"/>
      <c r="J18" s="574">
        <v>0</v>
      </c>
      <c r="K18" s="101"/>
      <c r="L18" s="574">
        <v>0</v>
      </c>
      <c r="M18" s="101"/>
      <c r="N18" s="574">
        <v>0</v>
      </c>
      <c r="O18" s="101"/>
      <c r="P18" s="574">
        <v>0</v>
      </c>
      <c r="Q18" s="101"/>
      <c r="R18" s="574">
        <v>0</v>
      </c>
      <c r="S18" s="101"/>
      <c r="T18" s="574">
        <v>0</v>
      </c>
      <c r="U18" s="101"/>
      <c r="V18" s="574">
        <v>0</v>
      </c>
      <c r="W18" s="101"/>
      <c r="X18" s="574">
        <v>0</v>
      </c>
      <c r="Y18" s="101"/>
      <c r="Z18" s="574">
        <f>H18-(J18+L18+N18+P18+R18+T18+V18+X18)</f>
        <v>0</v>
      </c>
      <c r="AA18" s="101"/>
      <c r="AB18" s="574">
        <v>0</v>
      </c>
      <c r="AC18" s="101"/>
      <c r="AD18" s="574">
        <v>0</v>
      </c>
      <c r="AE18" s="101"/>
      <c r="AF18" s="570"/>
    </row>
    <row r="19" spans="1:32" ht="13" x14ac:dyDescent="0.3">
      <c r="A19" s="484"/>
      <c r="B19" s="56"/>
      <c r="C19" s="522" t="s">
        <v>570</v>
      </c>
      <c r="D19" s="56"/>
      <c r="E19" s="168"/>
      <c r="F19" s="574"/>
      <c r="G19" s="101"/>
      <c r="H19" s="574">
        <v>0</v>
      </c>
      <c r="I19" s="101"/>
      <c r="J19" s="574">
        <v>0</v>
      </c>
      <c r="K19" s="101"/>
      <c r="L19" s="574">
        <v>0</v>
      </c>
      <c r="M19" s="101"/>
      <c r="N19" s="574">
        <v>0</v>
      </c>
      <c r="O19" s="101"/>
      <c r="P19" s="574">
        <v>0</v>
      </c>
      <c r="Q19" s="101"/>
      <c r="R19" s="574">
        <v>0</v>
      </c>
      <c r="S19" s="101"/>
      <c r="T19" s="574">
        <v>0</v>
      </c>
      <c r="U19" s="101"/>
      <c r="V19" s="574">
        <v>0</v>
      </c>
      <c r="W19" s="101"/>
      <c r="X19" s="574">
        <v>0</v>
      </c>
      <c r="Y19" s="101"/>
      <c r="Z19" s="574">
        <f>H19-(J19+L19+N19+P19+R19+T19+V19+X19)</f>
        <v>0</v>
      </c>
      <c r="AA19" s="101"/>
      <c r="AB19" s="574">
        <v>0</v>
      </c>
      <c r="AC19" s="101"/>
      <c r="AD19" s="574">
        <v>0</v>
      </c>
      <c r="AE19" s="101"/>
      <c r="AF19" s="570"/>
    </row>
    <row r="20" spans="1:32" ht="13" x14ac:dyDescent="0.3">
      <c r="A20" s="484"/>
      <c r="B20" s="56" t="s">
        <v>486</v>
      </c>
      <c r="C20" s="39" t="s">
        <v>571</v>
      </c>
      <c r="D20" s="56"/>
      <c r="E20" s="369"/>
      <c r="F20" s="540"/>
      <c r="G20" s="101"/>
      <c r="H20" s="575">
        <f>SUM(H21:H23)</f>
        <v>0</v>
      </c>
      <c r="I20" s="101"/>
      <c r="J20" s="575">
        <f>SUM(J21:J23)</f>
        <v>0</v>
      </c>
      <c r="K20" s="101"/>
      <c r="L20" s="575">
        <f>SUM(L21:L23)</f>
        <v>0</v>
      </c>
      <c r="M20" s="101"/>
      <c r="N20" s="575">
        <f>SUM(N21:N23)</f>
        <v>0</v>
      </c>
      <c r="O20" s="101"/>
      <c r="P20" s="575">
        <f>SUM(P21:P23)</f>
        <v>0</v>
      </c>
      <c r="Q20" s="101"/>
      <c r="R20" s="575">
        <f>SUM(R21:R23)</f>
        <v>0</v>
      </c>
      <c r="S20" s="101"/>
      <c r="T20" s="575">
        <f>SUM(T21:T23)</f>
        <v>0</v>
      </c>
      <c r="U20" s="101"/>
      <c r="V20" s="575">
        <f>SUM(V21:V23)</f>
        <v>0</v>
      </c>
      <c r="W20" s="101"/>
      <c r="X20" s="575">
        <f>SUM(X21:X23)</f>
        <v>0</v>
      </c>
      <c r="Y20" s="101"/>
      <c r="Z20" s="575">
        <f>SUM(Z21:Z23)</f>
        <v>0</v>
      </c>
      <c r="AA20" s="101"/>
      <c r="AB20" s="575">
        <f>SUM(AB21:AB23)</f>
        <v>0</v>
      </c>
      <c r="AC20" s="101"/>
      <c r="AD20" s="575">
        <f>SUM(AD21:AD23)</f>
        <v>0</v>
      </c>
      <c r="AE20" s="101"/>
      <c r="AF20" s="538"/>
    </row>
    <row r="21" spans="1:32" ht="13" x14ac:dyDescent="0.3">
      <c r="A21" s="484"/>
      <c r="B21" s="56"/>
      <c r="C21" s="522" t="s">
        <v>568</v>
      </c>
      <c r="D21" s="56"/>
      <c r="E21" s="369"/>
      <c r="F21" s="574"/>
      <c r="G21" s="101"/>
      <c r="H21" s="574">
        <v>0</v>
      </c>
      <c r="I21" s="101"/>
      <c r="J21" s="574">
        <v>0</v>
      </c>
      <c r="K21" s="101"/>
      <c r="L21" s="574">
        <v>0</v>
      </c>
      <c r="M21" s="101"/>
      <c r="N21" s="574">
        <v>0</v>
      </c>
      <c r="O21" s="101"/>
      <c r="P21" s="574">
        <v>0</v>
      </c>
      <c r="Q21" s="101"/>
      <c r="R21" s="574">
        <v>0</v>
      </c>
      <c r="S21" s="101"/>
      <c r="T21" s="574">
        <v>0</v>
      </c>
      <c r="U21" s="101"/>
      <c r="V21" s="574">
        <v>0</v>
      </c>
      <c r="W21" s="101"/>
      <c r="X21" s="574">
        <v>0</v>
      </c>
      <c r="Y21" s="101"/>
      <c r="Z21" s="574">
        <f>H21-(J21+L21+N21+P21+R21+T21+V21+X21)</f>
        <v>0</v>
      </c>
      <c r="AA21" s="101"/>
      <c r="AB21" s="574">
        <v>0</v>
      </c>
      <c r="AC21" s="101"/>
      <c r="AD21" s="574">
        <v>0</v>
      </c>
      <c r="AE21" s="101"/>
      <c r="AF21" s="570"/>
    </row>
    <row r="22" spans="1:32" ht="13" x14ac:dyDescent="0.3">
      <c r="A22" s="484"/>
      <c r="B22" s="56"/>
      <c r="C22" s="522" t="s">
        <v>569</v>
      </c>
      <c r="D22" s="56"/>
      <c r="E22" s="369"/>
      <c r="F22" s="574"/>
      <c r="G22" s="101"/>
      <c r="H22" s="574">
        <v>0</v>
      </c>
      <c r="I22" s="101"/>
      <c r="J22" s="574">
        <v>0</v>
      </c>
      <c r="K22" s="101"/>
      <c r="L22" s="574">
        <v>0</v>
      </c>
      <c r="M22" s="101"/>
      <c r="N22" s="574">
        <v>0</v>
      </c>
      <c r="O22" s="101"/>
      <c r="P22" s="574">
        <v>0</v>
      </c>
      <c r="Q22" s="101"/>
      <c r="R22" s="574">
        <v>0</v>
      </c>
      <c r="S22" s="101"/>
      <c r="T22" s="574">
        <v>0</v>
      </c>
      <c r="U22" s="101"/>
      <c r="V22" s="574">
        <v>0</v>
      </c>
      <c r="W22" s="101"/>
      <c r="X22" s="574">
        <v>0</v>
      </c>
      <c r="Y22" s="101"/>
      <c r="Z22" s="574">
        <f>H22-(J22+L22+N22+P22+R22+T22+V22+X22)</f>
        <v>0</v>
      </c>
      <c r="AA22" s="101"/>
      <c r="AB22" s="574">
        <v>0</v>
      </c>
      <c r="AC22" s="101"/>
      <c r="AD22" s="574">
        <v>0</v>
      </c>
      <c r="AE22" s="101"/>
      <c r="AF22" s="570"/>
    </row>
    <row r="23" spans="1:32" ht="13" x14ac:dyDescent="0.3">
      <c r="A23" s="484"/>
      <c r="B23" s="56"/>
      <c r="C23" s="522" t="s">
        <v>570</v>
      </c>
      <c r="D23" s="56"/>
      <c r="E23" s="168"/>
      <c r="F23" s="574"/>
      <c r="G23" s="101"/>
      <c r="H23" s="574">
        <v>0</v>
      </c>
      <c r="I23" s="101"/>
      <c r="J23" s="574">
        <v>0</v>
      </c>
      <c r="K23" s="101"/>
      <c r="L23" s="574">
        <v>0</v>
      </c>
      <c r="M23" s="101"/>
      <c r="N23" s="574">
        <v>0</v>
      </c>
      <c r="O23" s="101"/>
      <c r="P23" s="574">
        <v>0</v>
      </c>
      <c r="Q23" s="101"/>
      <c r="R23" s="574">
        <v>0</v>
      </c>
      <c r="S23" s="101"/>
      <c r="T23" s="574">
        <v>0</v>
      </c>
      <c r="U23" s="101"/>
      <c r="V23" s="574">
        <v>0</v>
      </c>
      <c r="W23" s="101"/>
      <c r="X23" s="574">
        <v>0</v>
      </c>
      <c r="Y23" s="101"/>
      <c r="Z23" s="574">
        <f>H23-(J23+L23+N23+P23+R23+T23+V23+X23)</f>
        <v>0</v>
      </c>
      <c r="AA23" s="101"/>
      <c r="AB23" s="574">
        <v>0</v>
      </c>
      <c r="AC23" s="101"/>
      <c r="AD23" s="574">
        <v>0</v>
      </c>
      <c r="AE23" s="101"/>
      <c r="AF23" s="570"/>
    </row>
    <row r="24" spans="1:32" ht="13" x14ac:dyDescent="0.3">
      <c r="A24" s="484"/>
      <c r="B24" s="56" t="s">
        <v>487</v>
      </c>
      <c r="C24" s="39" t="s">
        <v>572</v>
      </c>
      <c r="D24" s="56"/>
      <c r="E24" s="369"/>
      <c r="F24" s="540"/>
      <c r="G24" s="101"/>
      <c r="H24" s="575">
        <f>SUM(H25:H27)</f>
        <v>0</v>
      </c>
      <c r="I24" s="101"/>
      <c r="J24" s="575">
        <f>SUM(J25:J27)</f>
        <v>0</v>
      </c>
      <c r="K24" s="101"/>
      <c r="L24" s="575">
        <f>SUM(L25:L27)</f>
        <v>0</v>
      </c>
      <c r="M24" s="101"/>
      <c r="N24" s="575">
        <f>SUM(N25:N27)</f>
        <v>0</v>
      </c>
      <c r="O24" s="101"/>
      <c r="P24" s="575">
        <f>SUM(P25:P27)</f>
        <v>0</v>
      </c>
      <c r="Q24" s="101"/>
      <c r="R24" s="575">
        <f>SUM(R25:R27)</f>
        <v>0</v>
      </c>
      <c r="S24" s="101"/>
      <c r="T24" s="575">
        <f>SUM(T25:T27)</f>
        <v>0</v>
      </c>
      <c r="U24" s="101"/>
      <c r="V24" s="575">
        <f>SUM(V25:V27)</f>
        <v>0</v>
      </c>
      <c r="W24" s="101"/>
      <c r="X24" s="575">
        <f>SUM(X25:X27)</f>
        <v>0</v>
      </c>
      <c r="Y24" s="101"/>
      <c r="Z24" s="575">
        <f>SUM(Z25:Z27)</f>
        <v>0</v>
      </c>
      <c r="AA24" s="101"/>
      <c r="AB24" s="575">
        <f>SUM(AB25:AB27)</f>
        <v>0</v>
      </c>
      <c r="AC24" s="101"/>
      <c r="AD24" s="575">
        <f>SUM(AD25:AD27)</f>
        <v>0</v>
      </c>
      <c r="AE24" s="101"/>
      <c r="AF24" s="538"/>
    </row>
    <row r="25" spans="1:32" ht="13" x14ac:dyDescent="0.3">
      <c r="A25" s="484"/>
      <c r="B25" s="56"/>
      <c r="C25" s="522" t="s">
        <v>568</v>
      </c>
      <c r="D25" s="56"/>
      <c r="E25" s="369"/>
      <c r="F25" s="574"/>
      <c r="G25" s="101"/>
      <c r="H25" s="574">
        <v>0</v>
      </c>
      <c r="I25" s="101"/>
      <c r="J25" s="574">
        <v>0</v>
      </c>
      <c r="K25" s="101"/>
      <c r="L25" s="574">
        <v>0</v>
      </c>
      <c r="M25" s="101"/>
      <c r="N25" s="574">
        <v>0</v>
      </c>
      <c r="O25" s="101"/>
      <c r="P25" s="574">
        <v>0</v>
      </c>
      <c r="Q25" s="101"/>
      <c r="R25" s="574">
        <v>0</v>
      </c>
      <c r="S25" s="101"/>
      <c r="T25" s="574">
        <v>0</v>
      </c>
      <c r="U25" s="101"/>
      <c r="V25" s="574">
        <v>0</v>
      </c>
      <c r="W25" s="101"/>
      <c r="X25" s="574">
        <v>0</v>
      </c>
      <c r="Y25" s="101"/>
      <c r="Z25" s="574">
        <f>H25-(J25+L25+N25+P25+R25+T25+V25+X25)</f>
        <v>0</v>
      </c>
      <c r="AA25" s="101"/>
      <c r="AB25" s="574">
        <v>0</v>
      </c>
      <c r="AC25" s="101"/>
      <c r="AD25" s="574">
        <v>0</v>
      </c>
      <c r="AE25" s="101"/>
      <c r="AF25" s="570"/>
    </row>
    <row r="26" spans="1:32" ht="13" x14ac:dyDescent="0.3">
      <c r="A26" s="484"/>
      <c r="B26" s="56"/>
      <c r="C26" s="522" t="s">
        <v>569</v>
      </c>
      <c r="D26" s="56"/>
      <c r="E26" s="369"/>
      <c r="F26" s="574"/>
      <c r="G26" s="101"/>
      <c r="H26" s="574">
        <v>0</v>
      </c>
      <c r="I26" s="101"/>
      <c r="J26" s="574">
        <v>0</v>
      </c>
      <c r="K26" s="101"/>
      <c r="L26" s="574">
        <v>0</v>
      </c>
      <c r="M26" s="101"/>
      <c r="N26" s="574">
        <v>0</v>
      </c>
      <c r="O26" s="101"/>
      <c r="P26" s="574">
        <v>0</v>
      </c>
      <c r="Q26" s="101"/>
      <c r="R26" s="574">
        <v>0</v>
      </c>
      <c r="S26" s="101"/>
      <c r="T26" s="574">
        <v>0</v>
      </c>
      <c r="U26" s="101"/>
      <c r="V26" s="574">
        <v>0</v>
      </c>
      <c r="W26" s="101"/>
      <c r="X26" s="574">
        <v>0</v>
      </c>
      <c r="Y26" s="101"/>
      <c r="Z26" s="574">
        <f>H26-(J26+L26+N26+P26+R26+T26+V26+X26)</f>
        <v>0</v>
      </c>
      <c r="AA26" s="101"/>
      <c r="AB26" s="574">
        <v>0</v>
      </c>
      <c r="AC26" s="101"/>
      <c r="AD26" s="574">
        <v>0</v>
      </c>
      <c r="AE26" s="101"/>
      <c r="AF26" s="570"/>
    </row>
    <row r="27" spans="1:32" ht="13" x14ac:dyDescent="0.3">
      <c r="A27" s="484"/>
      <c r="B27" s="56"/>
      <c r="C27" s="522" t="s">
        <v>570</v>
      </c>
      <c r="D27" s="56"/>
      <c r="E27" s="168"/>
      <c r="F27" s="574"/>
      <c r="G27" s="101"/>
      <c r="H27" s="574">
        <v>0</v>
      </c>
      <c r="I27" s="101"/>
      <c r="J27" s="574">
        <v>0</v>
      </c>
      <c r="K27" s="101"/>
      <c r="L27" s="574">
        <v>0</v>
      </c>
      <c r="M27" s="101"/>
      <c r="N27" s="574">
        <v>0</v>
      </c>
      <c r="O27" s="101"/>
      <c r="P27" s="574">
        <v>0</v>
      </c>
      <c r="Q27" s="101"/>
      <c r="R27" s="574">
        <v>0</v>
      </c>
      <c r="S27" s="101"/>
      <c r="T27" s="574">
        <v>0</v>
      </c>
      <c r="U27" s="101"/>
      <c r="V27" s="574">
        <v>0</v>
      </c>
      <c r="W27" s="101"/>
      <c r="X27" s="574">
        <v>0</v>
      </c>
      <c r="Y27" s="101"/>
      <c r="Z27" s="574">
        <f>H27-(J27+L27+N27+P27+R27+T27+V27+X27)</f>
        <v>0</v>
      </c>
      <c r="AA27" s="101"/>
      <c r="AB27" s="574">
        <v>0</v>
      </c>
      <c r="AC27" s="101"/>
      <c r="AD27" s="574">
        <v>0</v>
      </c>
      <c r="AE27" s="101"/>
      <c r="AF27" s="570"/>
    </row>
    <row r="28" spans="1:32" ht="13" x14ac:dyDescent="0.3">
      <c r="A28" s="484"/>
      <c r="B28" s="56" t="s">
        <v>573</v>
      </c>
      <c r="C28" s="39" t="s">
        <v>574</v>
      </c>
      <c r="D28" s="56"/>
      <c r="E28" s="369"/>
      <c r="F28" s="540"/>
      <c r="G28" s="101"/>
      <c r="H28" s="575">
        <f>SUM(H29:H31)</f>
        <v>0</v>
      </c>
      <c r="I28" s="101"/>
      <c r="J28" s="575">
        <f>SUM(J29:J31)</f>
        <v>0</v>
      </c>
      <c r="K28" s="101"/>
      <c r="L28" s="575">
        <f>SUM(L29:L31)</f>
        <v>0</v>
      </c>
      <c r="M28" s="101"/>
      <c r="N28" s="575">
        <f>SUM(N29:N31)</f>
        <v>0</v>
      </c>
      <c r="O28" s="101"/>
      <c r="P28" s="575">
        <f>SUM(P29:P31)</f>
        <v>0</v>
      </c>
      <c r="Q28" s="101"/>
      <c r="R28" s="575">
        <f>SUM(R29:R31)</f>
        <v>0</v>
      </c>
      <c r="S28" s="101"/>
      <c r="T28" s="575">
        <f>SUM(T29:T31)</f>
        <v>0</v>
      </c>
      <c r="U28" s="101"/>
      <c r="V28" s="575">
        <f>SUM(V29:V31)</f>
        <v>0</v>
      </c>
      <c r="W28" s="101"/>
      <c r="X28" s="575">
        <f>SUM(X29:X31)</f>
        <v>0</v>
      </c>
      <c r="Y28" s="101"/>
      <c r="Z28" s="575">
        <f>SUM(Z29:Z31)</f>
        <v>0</v>
      </c>
      <c r="AA28" s="101"/>
      <c r="AB28" s="575">
        <f>SUM(AB29:AB31)</f>
        <v>0</v>
      </c>
      <c r="AC28" s="101"/>
      <c r="AD28" s="575">
        <f>SUM(AD29:AD31)</f>
        <v>0</v>
      </c>
      <c r="AE28" s="101"/>
      <c r="AF28" s="538"/>
    </row>
    <row r="29" spans="1:32" ht="13" x14ac:dyDescent="0.3">
      <c r="A29" s="484"/>
      <c r="B29" s="56"/>
      <c r="C29" s="522" t="s">
        <v>568</v>
      </c>
      <c r="D29" s="56"/>
      <c r="E29" s="369"/>
      <c r="F29" s="574"/>
      <c r="G29" s="101"/>
      <c r="H29" s="574">
        <v>0</v>
      </c>
      <c r="I29" s="101"/>
      <c r="J29" s="574">
        <v>0</v>
      </c>
      <c r="K29" s="101"/>
      <c r="L29" s="574">
        <v>0</v>
      </c>
      <c r="M29" s="101"/>
      <c r="N29" s="574">
        <v>0</v>
      </c>
      <c r="O29" s="101"/>
      <c r="P29" s="574">
        <v>0</v>
      </c>
      <c r="Q29" s="101"/>
      <c r="R29" s="574">
        <v>0</v>
      </c>
      <c r="S29" s="101"/>
      <c r="T29" s="574">
        <v>0</v>
      </c>
      <c r="U29" s="101"/>
      <c r="V29" s="574">
        <v>0</v>
      </c>
      <c r="W29" s="101"/>
      <c r="X29" s="574">
        <v>0</v>
      </c>
      <c r="Y29" s="101"/>
      <c r="Z29" s="574">
        <f>H29-(J29+L29+N29+P29+R29+T29+V29+X29)</f>
        <v>0</v>
      </c>
      <c r="AA29" s="101"/>
      <c r="AB29" s="574">
        <v>0</v>
      </c>
      <c r="AC29" s="101"/>
      <c r="AD29" s="574">
        <v>0</v>
      </c>
      <c r="AE29" s="101"/>
      <c r="AF29" s="570"/>
    </row>
    <row r="30" spans="1:32" ht="13" x14ac:dyDescent="0.3">
      <c r="A30" s="484"/>
      <c r="B30" s="56"/>
      <c r="C30" s="522" t="s">
        <v>569</v>
      </c>
      <c r="D30" s="56"/>
      <c r="E30" s="369"/>
      <c r="F30" s="574"/>
      <c r="G30" s="101"/>
      <c r="H30" s="574">
        <v>0</v>
      </c>
      <c r="I30" s="101"/>
      <c r="J30" s="574">
        <v>0</v>
      </c>
      <c r="K30" s="101"/>
      <c r="L30" s="574">
        <v>0</v>
      </c>
      <c r="M30" s="101"/>
      <c r="N30" s="574">
        <v>0</v>
      </c>
      <c r="O30" s="101"/>
      <c r="P30" s="574">
        <v>0</v>
      </c>
      <c r="Q30" s="101"/>
      <c r="R30" s="574">
        <v>0</v>
      </c>
      <c r="S30" s="101"/>
      <c r="T30" s="574">
        <v>0</v>
      </c>
      <c r="U30" s="101"/>
      <c r="V30" s="574">
        <v>0</v>
      </c>
      <c r="W30" s="101"/>
      <c r="X30" s="574">
        <v>0</v>
      </c>
      <c r="Y30" s="101"/>
      <c r="Z30" s="574">
        <f>H30-(J30+L30+N30+P30+R30+T30+V30+X30)</f>
        <v>0</v>
      </c>
      <c r="AA30" s="101"/>
      <c r="AB30" s="574">
        <v>0</v>
      </c>
      <c r="AC30" s="101"/>
      <c r="AD30" s="574">
        <v>0</v>
      </c>
      <c r="AE30" s="101"/>
      <c r="AF30" s="570"/>
    </row>
    <row r="31" spans="1:32" ht="13" x14ac:dyDescent="0.3">
      <c r="A31" s="484"/>
      <c r="B31" s="56"/>
      <c r="C31" s="522" t="s">
        <v>570</v>
      </c>
      <c r="D31" s="56"/>
      <c r="E31" s="369"/>
      <c r="F31" s="574"/>
      <c r="G31" s="101"/>
      <c r="H31" s="574">
        <v>0</v>
      </c>
      <c r="I31" s="101"/>
      <c r="J31" s="574">
        <v>0</v>
      </c>
      <c r="K31" s="101"/>
      <c r="L31" s="574">
        <v>0</v>
      </c>
      <c r="M31" s="101"/>
      <c r="N31" s="574">
        <v>0</v>
      </c>
      <c r="O31" s="101"/>
      <c r="P31" s="574">
        <v>0</v>
      </c>
      <c r="Q31" s="101"/>
      <c r="R31" s="574">
        <v>0</v>
      </c>
      <c r="S31" s="101"/>
      <c r="T31" s="574">
        <v>0</v>
      </c>
      <c r="U31" s="101"/>
      <c r="V31" s="574">
        <v>0</v>
      </c>
      <c r="W31" s="101"/>
      <c r="X31" s="574">
        <v>0</v>
      </c>
      <c r="Y31" s="101"/>
      <c r="Z31" s="574">
        <f>H31-(J31+L31+N31+P31+R31+T31+V31+X31)</f>
        <v>0</v>
      </c>
      <c r="AA31" s="101"/>
      <c r="AB31" s="574">
        <v>0</v>
      </c>
      <c r="AC31" s="101"/>
      <c r="AD31" s="574">
        <v>0</v>
      </c>
      <c r="AE31" s="101"/>
      <c r="AF31" s="570"/>
    </row>
    <row r="32" spans="1:32" ht="13" x14ac:dyDescent="0.3">
      <c r="A32" s="484"/>
      <c r="B32" s="56" t="s">
        <v>575</v>
      </c>
      <c r="C32" s="39" t="s">
        <v>576</v>
      </c>
      <c r="D32" s="56"/>
      <c r="E32" s="369"/>
      <c r="F32" s="540"/>
      <c r="G32" s="101"/>
      <c r="H32" s="575">
        <f>SUM(H33:H35)</f>
        <v>0</v>
      </c>
      <c r="I32" s="101"/>
      <c r="J32" s="575">
        <f>SUM(J33:J35)</f>
        <v>0</v>
      </c>
      <c r="K32" s="101"/>
      <c r="L32" s="575">
        <f>SUM(L33:L35)</f>
        <v>0</v>
      </c>
      <c r="M32" s="101"/>
      <c r="N32" s="575">
        <f>SUM(N33:N35)</f>
        <v>0</v>
      </c>
      <c r="O32" s="101"/>
      <c r="P32" s="575">
        <f>SUM(P33:P35)</f>
        <v>0</v>
      </c>
      <c r="Q32" s="101"/>
      <c r="R32" s="575">
        <f>SUM(R33:R35)</f>
        <v>0</v>
      </c>
      <c r="S32" s="101"/>
      <c r="T32" s="575">
        <f>SUM(T33:T35)</f>
        <v>0</v>
      </c>
      <c r="U32" s="101"/>
      <c r="V32" s="575">
        <f>SUM(V33:V35)</f>
        <v>0</v>
      </c>
      <c r="W32" s="101"/>
      <c r="X32" s="575">
        <f>SUM(X33:X35)</f>
        <v>0</v>
      </c>
      <c r="Y32" s="101"/>
      <c r="Z32" s="575">
        <f>SUM(Z33:Z35)</f>
        <v>0</v>
      </c>
      <c r="AA32" s="101"/>
      <c r="AB32" s="575">
        <f>SUM(AB33:AB35)</f>
        <v>0</v>
      </c>
      <c r="AC32" s="101"/>
      <c r="AD32" s="575">
        <f>SUM(AD33:AD35)</f>
        <v>0</v>
      </c>
      <c r="AE32" s="101"/>
      <c r="AF32" s="538"/>
    </row>
    <row r="33" spans="1:32" ht="13" x14ac:dyDescent="0.3">
      <c r="A33" s="484"/>
      <c r="B33" s="56"/>
      <c r="C33" s="522" t="s">
        <v>568</v>
      </c>
      <c r="D33" s="56"/>
      <c r="E33" s="369"/>
      <c r="F33" s="574"/>
      <c r="G33" s="101"/>
      <c r="H33" s="574">
        <v>0</v>
      </c>
      <c r="I33" s="101"/>
      <c r="J33" s="574">
        <v>0</v>
      </c>
      <c r="K33" s="101"/>
      <c r="L33" s="574">
        <v>0</v>
      </c>
      <c r="M33" s="101"/>
      <c r="N33" s="574">
        <v>0</v>
      </c>
      <c r="O33" s="101"/>
      <c r="P33" s="574">
        <v>0</v>
      </c>
      <c r="Q33" s="101"/>
      <c r="R33" s="574">
        <v>0</v>
      </c>
      <c r="S33" s="101"/>
      <c r="T33" s="574">
        <v>0</v>
      </c>
      <c r="U33" s="101"/>
      <c r="V33" s="574">
        <v>0</v>
      </c>
      <c r="W33" s="101"/>
      <c r="X33" s="574">
        <v>0</v>
      </c>
      <c r="Y33" s="101"/>
      <c r="Z33" s="574">
        <f>H33-(J33+L33+N33+P33+R33+T33+V33+X33)</f>
        <v>0</v>
      </c>
      <c r="AA33" s="101"/>
      <c r="AB33" s="574">
        <v>0</v>
      </c>
      <c r="AC33" s="101"/>
      <c r="AD33" s="574">
        <v>0</v>
      </c>
      <c r="AE33" s="101"/>
      <c r="AF33" s="570"/>
    </row>
    <row r="34" spans="1:32" ht="13" x14ac:dyDescent="0.3">
      <c r="A34" s="484"/>
      <c r="B34" s="56"/>
      <c r="C34" s="522" t="s">
        <v>569</v>
      </c>
      <c r="D34" s="56"/>
      <c r="E34" s="369"/>
      <c r="F34" s="574"/>
      <c r="G34" s="101"/>
      <c r="H34" s="574">
        <v>0</v>
      </c>
      <c r="I34" s="101"/>
      <c r="J34" s="574">
        <v>0</v>
      </c>
      <c r="K34" s="101"/>
      <c r="L34" s="574">
        <v>0</v>
      </c>
      <c r="M34" s="101"/>
      <c r="N34" s="574">
        <v>0</v>
      </c>
      <c r="O34" s="101"/>
      <c r="P34" s="574">
        <v>0</v>
      </c>
      <c r="Q34" s="101"/>
      <c r="R34" s="574">
        <v>0</v>
      </c>
      <c r="S34" s="101"/>
      <c r="T34" s="574">
        <v>0</v>
      </c>
      <c r="U34" s="101"/>
      <c r="V34" s="574">
        <v>0</v>
      </c>
      <c r="W34" s="101"/>
      <c r="X34" s="574">
        <v>0</v>
      </c>
      <c r="Y34" s="101"/>
      <c r="Z34" s="574">
        <f>H34-(J34+L34+N34+P34+R34+T34+V34+X34)</f>
        <v>0</v>
      </c>
      <c r="AA34" s="101"/>
      <c r="AB34" s="574">
        <v>0</v>
      </c>
      <c r="AC34" s="101"/>
      <c r="AD34" s="574">
        <v>0</v>
      </c>
      <c r="AE34" s="101"/>
      <c r="AF34" s="570"/>
    </row>
    <row r="35" spans="1:32" ht="13" x14ac:dyDescent="0.3">
      <c r="A35" s="484"/>
      <c r="B35" s="56"/>
      <c r="C35" s="522" t="s">
        <v>570</v>
      </c>
      <c r="D35" s="56"/>
      <c r="E35" s="369"/>
      <c r="F35" s="574"/>
      <c r="G35" s="101"/>
      <c r="H35" s="574">
        <v>0</v>
      </c>
      <c r="I35" s="101"/>
      <c r="J35" s="574">
        <v>0</v>
      </c>
      <c r="K35" s="101"/>
      <c r="L35" s="574">
        <v>0</v>
      </c>
      <c r="M35" s="101"/>
      <c r="N35" s="574">
        <v>0</v>
      </c>
      <c r="O35" s="101"/>
      <c r="P35" s="574">
        <v>0</v>
      </c>
      <c r="Q35" s="101"/>
      <c r="R35" s="574">
        <v>0</v>
      </c>
      <c r="S35" s="101"/>
      <c r="T35" s="574">
        <v>0</v>
      </c>
      <c r="U35" s="101"/>
      <c r="V35" s="574">
        <v>0</v>
      </c>
      <c r="W35" s="101"/>
      <c r="X35" s="574">
        <v>0</v>
      </c>
      <c r="Y35" s="101"/>
      <c r="Z35" s="574">
        <f>H35-(J35+L35+N35+P35+R35+T35+V35+X35)</f>
        <v>0</v>
      </c>
      <c r="AA35" s="101"/>
      <c r="AB35" s="574">
        <v>0</v>
      </c>
      <c r="AC35" s="101"/>
      <c r="AD35" s="574">
        <v>0</v>
      </c>
      <c r="AE35" s="101"/>
      <c r="AF35" s="570"/>
    </row>
    <row r="36" spans="1:32" ht="13" x14ac:dyDescent="0.3">
      <c r="A36" s="484"/>
      <c r="B36" s="56" t="s">
        <v>577</v>
      </c>
      <c r="C36" s="39" t="s">
        <v>578</v>
      </c>
      <c r="D36" s="56"/>
      <c r="E36" s="369"/>
      <c r="F36" s="540"/>
      <c r="G36" s="101"/>
      <c r="H36" s="575">
        <f>SUM(H37:H39)</f>
        <v>0</v>
      </c>
      <c r="I36" s="101"/>
      <c r="J36" s="575">
        <f>SUM(J37:J39)</f>
        <v>0</v>
      </c>
      <c r="K36" s="101"/>
      <c r="L36" s="575">
        <f>SUM(L37:L39)</f>
        <v>0</v>
      </c>
      <c r="M36" s="101"/>
      <c r="N36" s="575">
        <f>SUM(N37:N39)</f>
        <v>0</v>
      </c>
      <c r="O36" s="101"/>
      <c r="P36" s="575">
        <f>SUM(P37:P39)</f>
        <v>0</v>
      </c>
      <c r="Q36" s="101"/>
      <c r="R36" s="575">
        <f>SUM(R37:R39)</f>
        <v>0</v>
      </c>
      <c r="S36" s="101"/>
      <c r="T36" s="575">
        <f>SUM(T37:T39)</f>
        <v>0</v>
      </c>
      <c r="U36" s="101"/>
      <c r="V36" s="575">
        <f>SUM(V37:V39)</f>
        <v>0</v>
      </c>
      <c r="W36" s="101"/>
      <c r="X36" s="575">
        <f>SUM(X37:X39)</f>
        <v>0</v>
      </c>
      <c r="Y36" s="101"/>
      <c r="Z36" s="575">
        <f>SUM(Z37:Z39)</f>
        <v>0</v>
      </c>
      <c r="AA36" s="101"/>
      <c r="AB36" s="575">
        <f>SUM(AB37:AB39)</f>
        <v>0</v>
      </c>
      <c r="AC36" s="101"/>
      <c r="AD36" s="575">
        <f>SUM(AD37:AD39)</f>
        <v>0</v>
      </c>
      <c r="AE36" s="101"/>
      <c r="AF36" s="538"/>
    </row>
    <row r="37" spans="1:32" ht="13" x14ac:dyDescent="0.3">
      <c r="A37" s="484"/>
      <c r="B37" s="56"/>
      <c r="C37" s="522" t="s">
        <v>568</v>
      </c>
      <c r="D37" s="56"/>
      <c r="E37" s="369"/>
      <c r="F37" s="574"/>
      <c r="G37" s="101"/>
      <c r="H37" s="574">
        <v>0</v>
      </c>
      <c r="I37" s="101"/>
      <c r="J37" s="574">
        <v>0</v>
      </c>
      <c r="K37" s="101"/>
      <c r="L37" s="574">
        <v>0</v>
      </c>
      <c r="M37" s="101"/>
      <c r="N37" s="574">
        <v>0</v>
      </c>
      <c r="O37" s="101"/>
      <c r="P37" s="574">
        <v>0</v>
      </c>
      <c r="Q37" s="101"/>
      <c r="R37" s="574">
        <v>0</v>
      </c>
      <c r="S37" s="101"/>
      <c r="T37" s="574">
        <v>0</v>
      </c>
      <c r="U37" s="101"/>
      <c r="V37" s="574">
        <v>0</v>
      </c>
      <c r="W37" s="101"/>
      <c r="X37" s="574">
        <v>0</v>
      </c>
      <c r="Y37" s="101"/>
      <c r="Z37" s="574">
        <f>H37-(J37+L37+N37+P37+R37+T37+V37+X37)</f>
        <v>0</v>
      </c>
      <c r="AA37" s="101"/>
      <c r="AB37" s="574">
        <v>0</v>
      </c>
      <c r="AC37" s="101"/>
      <c r="AD37" s="574">
        <v>0</v>
      </c>
      <c r="AE37" s="101"/>
      <c r="AF37" s="570"/>
    </row>
    <row r="38" spans="1:32" ht="13" x14ac:dyDescent="0.3">
      <c r="A38" s="484"/>
      <c r="B38" s="56"/>
      <c r="C38" s="522" t="s">
        <v>569</v>
      </c>
      <c r="D38" s="56"/>
      <c r="E38" s="369"/>
      <c r="F38" s="574"/>
      <c r="G38" s="101"/>
      <c r="H38" s="574">
        <v>0</v>
      </c>
      <c r="I38" s="101"/>
      <c r="J38" s="574">
        <v>0</v>
      </c>
      <c r="K38" s="101"/>
      <c r="L38" s="574">
        <v>0</v>
      </c>
      <c r="M38" s="101"/>
      <c r="N38" s="574">
        <v>0</v>
      </c>
      <c r="O38" s="101"/>
      <c r="P38" s="574">
        <v>0</v>
      </c>
      <c r="Q38" s="101"/>
      <c r="R38" s="574">
        <v>0</v>
      </c>
      <c r="S38" s="101"/>
      <c r="T38" s="574">
        <v>0</v>
      </c>
      <c r="U38" s="101"/>
      <c r="V38" s="574">
        <v>0</v>
      </c>
      <c r="W38" s="101"/>
      <c r="X38" s="574">
        <v>0</v>
      </c>
      <c r="Y38" s="101"/>
      <c r="Z38" s="574">
        <f>H38-(J38+L38+N38+P38+R38+T38+V38+X38)</f>
        <v>0</v>
      </c>
      <c r="AA38" s="101"/>
      <c r="AB38" s="574">
        <v>0</v>
      </c>
      <c r="AC38" s="101"/>
      <c r="AD38" s="574">
        <v>0</v>
      </c>
      <c r="AE38" s="101"/>
      <c r="AF38" s="570"/>
    </row>
    <row r="39" spans="1:32" ht="13" x14ac:dyDescent="0.3">
      <c r="A39" s="484"/>
      <c r="B39" s="56"/>
      <c r="C39" s="522" t="s">
        <v>570</v>
      </c>
      <c r="D39" s="56"/>
      <c r="E39" s="369"/>
      <c r="F39" s="574"/>
      <c r="G39" s="101"/>
      <c r="H39" s="574">
        <v>0</v>
      </c>
      <c r="I39" s="101"/>
      <c r="J39" s="574">
        <v>0</v>
      </c>
      <c r="K39" s="101"/>
      <c r="L39" s="574">
        <v>0</v>
      </c>
      <c r="M39" s="101"/>
      <c r="N39" s="574">
        <v>0</v>
      </c>
      <c r="O39" s="101"/>
      <c r="P39" s="574">
        <v>0</v>
      </c>
      <c r="Q39" s="101"/>
      <c r="R39" s="574">
        <v>0</v>
      </c>
      <c r="S39" s="101"/>
      <c r="T39" s="574">
        <v>0</v>
      </c>
      <c r="U39" s="101"/>
      <c r="V39" s="574">
        <v>0</v>
      </c>
      <c r="W39" s="101"/>
      <c r="X39" s="574">
        <v>0</v>
      </c>
      <c r="Y39" s="101"/>
      <c r="Z39" s="574">
        <f>H39-(J39+L39+N39+P39+R39+T39+V39+X39)</f>
        <v>0</v>
      </c>
      <c r="AA39" s="101"/>
      <c r="AB39" s="574">
        <v>0</v>
      </c>
      <c r="AC39" s="101"/>
      <c r="AD39" s="574">
        <v>0</v>
      </c>
      <c r="AE39" s="101"/>
      <c r="AF39" s="570"/>
    </row>
    <row r="40" spans="1:32" ht="13" x14ac:dyDescent="0.3">
      <c r="A40" s="484"/>
      <c r="B40" s="56" t="s">
        <v>579</v>
      </c>
      <c r="C40" s="39" t="s">
        <v>580</v>
      </c>
      <c r="D40" s="56"/>
      <c r="E40" s="369"/>
      <c r="F40" s="540"/>
      <c r="G40" s="101"/>
      <c r="H40" s="575">
        <f>SUM(H41:H43)</f>
        <v>0</v>
      </c>
      <c r="I40" s="101"/>
      <c r="J40" s="575">
        <f>SUM(J41:J43)</f>
        <v>0</v>
      </c>
      <c r="K40" s="101"/>
      <c r="L40" s="575">
        <f>SUM(L41:L43)</f>
        <v>0</v>
      </c>
      <c r="M40" s="101"/>
      <c r="N40" s="575">
        <f>SUM(N41:N43)</f>
        <v>0</v>
      </c>
      <c r="O40" s="101"/>
      <c r="P40" s="575">
        <f>SUM(P41:P43)</f>
        <v>0</v>
      </c>
      <c r="Q40" s="101"/>
      <c r="R40" s="575">
        <f>SUM(R41:R43)</f>
        <v>0</v>
      </c>
      <c r="S40" s="101"/>
      <c r="T40" s="575">
        <f>SUM(T41:T43)</f>
        <v>0</v>
      </c>
      <c r="U40" s="101"/>
      <c r="V40" s="575">
        <f>SUM(V41:V43)</f>
        <v>0</v>
      </c>
      <c r="W40" s="101"/>
      <c r="X40" s="575">
        <f>SUM(X41:X43)</f>
        <v>0</v>
      </c>
      <c r="Y40" s="101"/>
      <c r="Z40" s="575">
        <f>SUM(Z41:Z43)</f>
        <v>0</v>
      </c>
      <c r="AA40" s="101"/>
      <c r="AB40" s="575">
        <f>SUM(AB41:AB43)</f>
        <v>0</v>
      </c>
      <c r="AC40" s="101"/>
      <c r="AD40" s="575">
        <f>SUM(AD41:AD43)</f>
        <v>0</v>
      </c>
      <c r="AE40" s="101"/>
      <c r="AF40" s="538"/>
    </row>
    <row r="41" spans="1:32" ht="13" x14ac:dyDescent="0.3">
      <c r="A41" s="484"/>
      <c r="B41" s="56"/>
      <c r="C41" s="522" t="s">
        <v>568</v>
      </c>
      <c r="D41" s="56"/>
      <c r="E41" s="369"/>
      <c r="F41" s="574"/>
      <c r="G41" s="101"/>
      <c r="H41" s="574">
        <v>0</v>
      </c>
      <c r="I41" s="101"/>
      <c r="J41" s="574">
        <v>0</v>
      </c>
      <c r="K41" s="101"/>
      <c r="L41" s="574">
        <v>0</v>
      </c>
      <c r="M41" s="101"/>
      <c r="N41" s="574">
        <v>0</v>
      </c>
      <c r="O41" s="101"/>
      <c r="P41" s="574">
        <v>0</v>
      </c>
      <c r="Q41" s="101"/>
      <c r="R41" s="574">
        <v>0</v>
      </c>
      <c r="S41" s="101"/>
      <c r="T41" s="574">
        <v>0</v>
      </c>
      <c r="U41" s="101"/>
      <c r="V41" s="574">
        <v>0</v>
      </c>
      <c r="W41" s="101"/>
      <c r="X41" s="574">
        <v>0</v>
      </c>
      <c r="Y41" s="101"/>
      <c r="Z41" s="574">
        <f>H41-(J41+L41+N41+P41+R41+T41+V41+X41)</f>
        <v>0</v>
      </c>
      <c r="AA41" s="101"/>
      <c r="AB41" s="574">
        <v>0</v>
      </c>
      <c r="AC41" s="101"/>
      <c r="AD41" s="574">
        <v>0</v>
      </c>
      <c r="AE41" s="101"/>
      <c r="AF41" s="570"/>
    </row>
    <row r="42" spans="1:32" ht="13" x14ac:dyDescent="0.3">
      <c r="A42" s="484"/>
      <c r="B42" s="56"/>
      <c r="C42" s="522" t="s">
        <v>569</v>
      </c>
      <c r="D42" s="56"/>
      <c r="E42" s="369"/>
      <c r="F42" s="574"/>
      <c r="G42" s="101"/>
      <c r="H42" s="574">
        <v>0</v>
      </c>
      <c r="I42" s="101"/>
      <c r="J42" s="574">
        <v>0</v>
      </c>
      <c r="K42" s="101"/>
      <c r="L42" s="574">
        <v>0</v>
      </c>
      <c r="M42" s="101"/>
      <c r="N42" s="574">
        <v>0</v>
      </c>
      <c r="O42" s="101"/>
      <c r="P42" s="574">
        <v>0</v>
      </c>
      <c r="Q42" s="101"/>
      <c r="R42" s="574">
        <v>0</v>
      </c>
      <c r="S42" s="101"/>
      <c r="T42" s="574">
        <v>0</v>
      </c>
      <c r="U42" s="101"/>
      <c r="V42" s="574">
        <v>0</v>
      </c>
      <c r="W42" s="101"/>
      <c r="X42" s="574">
        <v>0</v>
      </c>
      <c r="Y42" s="101"/>
      <c r="Z42" s="574">
        <f>H42-(J42+L42+N42+P42+R42+T42+V42+X42)</f>
        <v>0</v>
      </c>
      <c r="AA42" s="101"/>
      <c r="AB42" s="574">
        <v>0</v>
      </c>
      <c r="AC42" s="101"/>
      <c r="AD42" s="574">
        <v>0</v>
      </c>
      <c r="AE42" s="101"/>
      <c r="AF42" s="570"/>
    </row>
    <row r="43" spans="1:32" ht="13" x14ac:dyDescent="0.3">
      <c r="A43" s="484"/>
      <c r="B43" s="56"/>
      <c r="C43" s="522" t="s">
        <v>570</v>
      </c>
      <c r="D43" s="56"/>
      <c r="E43" s="369"/>
      <c r="F43" s="574"/>
      <c r="G43" s="101"/>
      <c r="H43" s="574">
        <v>0</v>
      </c>
      <c r="I43" s="101"/>
      <c r="J43" s="574">
        <v>0</v>
      </c>
      <c r="K43" s="101"/>
      <c r="L43" s="574">
        <v>0</v>
      </c>
      <c r="M43" s="101"/>
      <c r="N43" s="574">
        <v>0</v>
      </c>
      <c r="O43" s="101"/>
      <c r="P43" s="574">
        <v>0</v>
      </c>
      <c r="Q43" s="101"/>
      <c r="R43" s="574">
        <v>0</v>
      </c>
      <c r="S43" s="101"/>
      <c r="T43" s="574">
        <v>0</v>
      </c>
      <c r="U43" s="101"/>
      <c r="V43" s="574">
        <v>0</v>
      </c>
      <c r="W43" s="101"/>
      <c r="X43" s="574">
        <v>0</v>
      </c>
      <c r="Y43" s="101"/>
      <c r="Z43" s="574">
        <f>H43-(J43+L43+N43+P43+R43+T43+V43+X43)</f>
        <v>0</v>
      </c>
      <c r="AA43" s="101"/>
      <c r="AB43" s="574">
        <v>0</v>
      </c>
      <c r="AC43" s="101"/>
      <c r="AD43" s="574">
        <v>0</v>
      </c>
      <c r="AE43" s="101"/>
      <c r="AF43" s="570"/>
    </row>
    <row r="44" spans="1:32" ht="13" x14ac:dyDescent="0.3">
      <c r="A44" s="484"/>
      <c r="B44" s="56" t="s">
        <v>581</v>
      </c>
      <c r="C44" s="39" t="s">
        <v>582</v>
      </c>
      <c r="D44" s="56"/>
      <c r="E44" s="369"/>
      <c r="F44" s="540"/>
      <c r="G44" s="101"/>
      <c r="H44" s="575">
        <f>SUM(H45:H47)</f>
        <v>0</v>
      </c>
      <c r="I44" s="101"/>
      <c r="J44" s="575">
        <f>SUM(J45:J47)</f>
        <v>0</v>
      </c>
      <c r="K44" s="101"/>
      <c r="L44" s="575">
        <f>SUM(L45:L47)</f>
        <v>0</v>
      </c>
      <c r="M44" s="101"/>
      <c r="N44" s="575">
        <f>SUM(N45:N47)</f>
        <v>0</v>
      </c>
      <c r="O44" s="101"/>
      <c r="P44" s="575">
        <f>SUM(P45:P47)</f>
        <v>0</v>
      </c>
      <c r="Q44" s="101"/>
      <c r="R44" s="575">
        <f>SUM(R45:R47)</f>
        <v>0</v>
      </c>
      <c r="S44" s="101"/>
      <c r="T44" s="575">
        <f>SUM(T45:T47)</f>
        <v>0</v>
      </c>
      <c r="U44" s="101"/>
      <c r="V44" s="575">
        <f>SUM(V45:V47)</f>
        <v>0</v>
      </c>
      <c r="W44" s="101"/>
      <c r="X44" s="575">
        <f>SUM(X45:X47)</f>
        <v>0</v>
      </c>
      <c r="Y44" s="101"/>
      <c r="Z44" s="575">
        <f>SUM(Z45:Z47)</f>
        <v>0</v>
      </c>
      <c r="AA44" s="101"/>
      <c r="AB44" s="575">
        <f>SUM(AB45:AB47)</f>
        <v>0</v>
      </c>
      <c r="AC44" s="101"/>
      <c r="AD44" s="575">
        <f>SUM(AD45:AD47)</f>
        <v>0</v>
      </c>
      <c r="AE44" s="101"/>
      <c r="AF44" s="538"/>
    </row>
    <row r="45" spans="1:32" ht="13" x14ac:dyDescent="0.3">
      <c r="A45" s="484"/>
      <c r="B45" s="56"/>
      <c r="C45" s="522" t="s">
        <v>568</v>
      </c>
      <c r="D45" s="56"/>
      <c r="E45" s="369"/>
      <c r="F45" s="574"/>
      <c r="G45" s="101"/>
      <c r="H45" s="574">
        <v>0</v>
      </c>
      <c r="I45" s="101"/>
      <c r="J45" s="574">
        <v>0</v>
      </c>
      <c r="K45" s="101"/>
      <c r="L45" s="574">
        <v>0</v>
      </c>
      <c r="M45" s="101"/>
      <c r="N45" s="574">
        <v>0</v>
      </c>
      <c r="O45" s="101"/>
      <c r="P45" s="574">
        <v>0</v>
      </c>
      <c r="Q45" s="101"/>
      <c r="R45" s="574">
        <v>0</v>
      </c>
      <c r="S45" s="101"/>
      <c r="T45" s="574">
        <v>0</v>
      </c>
      <c r="U45" s="101"/>
      <c r="V45" s="574">
        <v>0</v>
      </c>
      <c r="W45" s="101"/>
      <c r="X45" s="574">
        <v>0</v>
      </c>
      <c r="Y45" s="101"/>
      <c r="Z45" s="574">
        <f>H45-(J45+L45+N45+P45+R45+T45+V45+X45)</f>
        <v>0</v>
      </c>
      <c r="AA45" s="101"/>
      <c r="AB45" s="574">
        <v>0</v>
      </c>
      <c r="AC45" s="101"/>
      <c r="AD45" s="574">
        <v>0</v>
      </c>
      <c r="AE45" s="101"/>
      <c r="AF45" s="570"/>
    </row>
    <row r="46" spans="1:32" ht="13" x14ac:dyDescent="0.3">
      <c r="A46" s="484"/>
      <c r="B46" s="56"/>
      <c r="C46" s="522" t="s">
        <v>569</v>
      </c>
      <c r="D46" s="56"/>
      <c r="E46" s="369"/>
      <c r="F46" s="574"/>
      <c r="G46" s="101"/>
      <c r="H46" s="574">
        <v>0</v>
      </c>
      <c r="I46" s="101"/>
      <c r="J46" s="574">
        <v>0</v>
      </c>
      <c r="K46" s="101"/>
      <c r="L46" s="574">
        <v>0</v>
      </c>
      <c r="M46" s="101"/>
      <c r="N46" s="574">
        <v>0</v>
      </c>
      <c r="O46" s="101"/>
      <c r="P46" s="574">
        <v>0</v>
      </c>
      <c r="Q46" s="101"/>
      <c r="R46" s="574">
        <v>0</v>
      </c>
      <c r="S46" s="101"/>
      <c r="T46" s="574">
        <v>0</v>
      </c>
      <c r="U46" s="101"/>
      <c r="V46" s="574">
        <v>0</v>
      </c>
      <c r="W46" s="101"/>
      <c r="X46" s="574">
        <v>0</v>
      </c>
      <c r="Y46" s="101"/>
      <c r="Z46" s="574">
        <f>H46-(J46+L46+N46+P46+R46+T46+V46+X46)</f>
        <v>0</v>
      </c>
      <c r="AA46" s="101"/>
      <c r="AB46" s="574">
        <v>0</v>
      </c>
      <c r="AC46" s="101"/>
      <c r="AD46" s="574">
        <v>0</v>
      </c>
      <c r="AE46" s="101"/>
      <c r="AF46" s="570"/>
    </row>
    <row r="47" spans="1:32" ht="13" x14ac:dyDescent="0.3">
      <c r="A47" s="484"/>
      <c r="B47" s="56"/>
      <c r="C47" s="522" t="s">
        <v>570</v>
      </c>
      <c r="D47" s="56"/>
      <c r="E47" s="369"/>
      <c r="F47" s="574"/>
      <c r="G47" s="101"/>
      <c r="H47" s="574">
        <v>0</v>
      </c>
      <c r="I47" s="101"/>
      <c r="J47" s="574">
        <v>0</v>
      </c>
      <c r="K47" s="101"/>
      <c r="L47" s="574">
        <v>0</v>
      </c>
      <c r="M47" s="101"/>
      <c r="N47" s="574">
        <v>0</v>
      </c>
      <c r="O47" s="101"/>
      <c r="P47" s="574">
        <v>0</v>
      </c>
      <c r="Q47" s="101"/>
      <c r="R47" s="574">
        <v>0</v>
      </c>
      <c r="S47" s="101"/>
      <c r="T47" s="574">
        <v>0</v>
      </c>
      <c r="U47" s="101"/>
      <c r="V47" s="574">
        <v>0</v>
      </c>
      <c r="W47" s="101"/>
      <c r="X47" s="574">
        <v>0</v>
      </c>
      <c r="Y47" s="101"/>
      <c r="Z47" s="574">
        <f>H47-(J47+L47+N47+P47+R47+T47+V47+X47)</f>
        <v>0</v>
      </c>
      <c r="AA47" s="101"/>
      <c r="AB47" s="574">
        <v>0</v>
      </c>
      <c r="AC47" s="101"/>
      <c r="AD47" s="574">
        <v>0</v>
      </c>
      <c r="AE47" s="101"/>
      <c r="AF47" s="570"/>
    </row>
    <row r="48" spans="1:32" ht="13" x14ac:dyDescent="0.3">
      <c r="A48" s="484"/>
      <c r="B48" s="56" t="s">
        <v>583</v>
      </c>
      <c r="C48" s="39" t="s">
        <v>584</v>
      </c>
      <c r="D48" s="56"/>
      <c r="E48" s="369"/>
      <c r="F48" s="540"/>
      <c r="G48" s="101"/>
      <c r="H48" s="575">
        <f>SUM(H49:H51)</f>
        <v>0</v>
      </c>
      <c r="I48" s="101"/>
      <c r="J48" s="575">
        <f>SUM(J49:J51)</f>
        <v>0</v>
      </c>
      <c r="K48" s="101"/>
      <c r="L48" s="575">
        <f>SUM(L49:L51)</f>
        <v>0</v>
      </c>
      <c r="M48" s="101"/>
      <c r="N48" s="575">
        <f>SUM(N49:N51)</f>
        <v>0</v>
      </c>
      <c r="O48" s="101"/>
      <c r="P48" s="575">
        <f>SUM(P49:P51)</f>
        <v>0</v>
      </c>
      <c r="Q48" s="101"/>
      <c r="R48" s="575">
        <f>SUM(R49:R51)</f>
        <v>0</v>
      </c>
      <c r="S48" s="101"/>
      <c r="T48" s="575">
        <f>SUM(T49:T51)</f>
        <v>0</v>
      </c>
      <c r="U48" s="101"/>
      <c r="V48" s="575">
        <f>SUM(V49:V51)</f>
        <v>0</v>
      </c>
      <c r="W48" s="101"/>
      <c r="X48" s="575">
        <f>SUM(X49:X51)</f>
        <v>0</v>
      </c>
      <c r="Y48" s="101"/>
      <c r="Z48" s="575">
        <f>SUM(Z49:Z51)</f>
        <v>0</v>
      </c>
      <c r="AA48" s="101"/>
      <c r="AB48" s="575">
        <f>SUM(AB49:AB51)</f>
        <v>0</v>
      </c>
      <c r="AC48" s="101"/>
      <c r="AD48" s="575">
        <f>SUM(AD49:AD51)</f>
        <v>0</v>
      </c>
      <c r="AE48" s="101"/>
      <c r="AF48" s="538"/>
    </row>
    <row r="49" spans="1:32" ht="13" x14ac:dyDescent="0.3">
      <c r="A49" s="484"/>
      <c r="B49" s="56"/>
      <c r="C49" s="522" t="s">
        <v>568</v>
      </c>
      <c r="D49" s="56"/>
      <c r="E49" s="369"/>
      <c r="F49" s="574"/>
      <c r="G49" s="101"/>
      <c r="H49" s="574">
        <v>0</v>
      </c>
      <c r="I49" s="101"/>
      <c r="J49" s="574">
        <v>0</v>
      </c>
      <c r="K49" s="101"/>
      <c r="L49" s="574">
        <v>0</v>
      </c>
      <c r="M49" s="101"/>
      <c r="N49" s="574">
        <v>0</v>
      </c>
      <c r="O49" s="101"/>
      <c r="P49" s="574">
        <v>0</v>
      </c>
      <c r="Q49" s="101"/>
      <c r="R49" s="574">
        <v>0</v>
      </c>
      <c r="S49" s="101"/>
      <c r="T49" s="574">
        <v>0</v>
      </c>
      <c r="U49" s="101"/>
      <c r="V49" s="574">
        <v>0</v>
      </c>
      <c r="W49" s="101"/>
      <c r="X49" s="574">
        <v>0</v>
      </c>
      <c r="Y49" s="101"/>
      <c r="Z49" s="574">
        <f>H49-(J49+L49+N49+P49+R49+T49+V49+X49)</f>
        <v>0</v>
      </c>
      <c r="AA49" s="101"/>
      <c r="AB49" s="574">
        <v>0</v>
      </c>
      <c r="AC49" s="101"/>
      <c r="AD49" s="574">
        <v>0</v>
      </c>
      <c r="AE49" s="101"/>
      <c r="AF49" s="570"/>
    </row>
    <row r="50" spans="1:32" ht="13" x14ac:dyDescent="0.3">
      <c r="B50" s="56"/>
      <c r="C50" s="522" t="s">
        <v>569</v>
      </c>
      <c r="D50" s="56"/>
      <c r="E50" s="369"/>
      <c r="F50" s="574"/>
      <c r="G50" s="101"/>
      <c r="H50" s="574">
        <v>0</v>
      </c>
      <c r="I50" s="101"/>
      <c r="J50" s="574">
        <v>0</v>
      </c>
      <c r="K50" s="101"/>
      <c r="L50" s="574">
        <v>0</v>
      </c>
      <c r="M50" s="101"/>
      <c r="N50" s="574">
        <v>0</v>
      </c>
      <c r="O50" s="101"/>
      <c r="P50" s="574">
        <v>0</v>
      </c>
      <c r="Q50" s="101"/>
      <c r="R50" s="574">
        <v>0</v>
      </c>
      <c r="S50" s="101"/>
      <c r="T50" s="574">
        <v>0</v>
      </c>
      <c r="U50" s="101"/>
      <c r="V50" s="574">
        <v>0</v>
      </c>
      <c r="W50" s="101"/>
      <c r="X50" s="574">
        <v>0</v>
      </c>
      <c r="Y50" s="101"/>
      <c r="Z50" s="574">
        <f>H50-(J50+L50+N50+P50+R50+T50+V50+X50)</f>
        <v>0</v>
      </c>
      <c r="AA50" s="101"/>
      <c r="AB50" s="574">
        <v>0</v>
      </c>
      <c r="AC50" s="101"/>
      <c r="AD50" s="574">
        <v>0</v>
      </c>
      <c r="AE50" s="101"/>
      <c r="AF50" s="570"/>
    </row>
    <row r="51" spans="1:32" ht="13" x14ac:dyDescent="0.3">
      <c r="A51" s="484"/>
      <c r="B51" s="56"/>
      <c r="C51" s="522" t="s">
        <v>570</v>
      </c>
      <c r="D51" s="56"/>
      <c r="E51" s="369"/>
      <c r="F51" s="574"/>
      <c r="G51" s="101"/>
      <c r="H51" s="574">
        <v>0</v>
      </c>
      <c r="I51" s="101"/>
      <c r="J51" s="574">
        <v>0</v>
      </c>
      <c r="K51" s="101"/>
      <c r="L51" s="574">
        <v>0</v>
      </c>
      <c r="M51" s="101"/>
      <c r="N51" s="574">
        <v>0</v>
      </c>
      <c r="O51" s="101"/>
      <c r="P51" s="574">
        <v>0</v>
      </c>
      <c r="Q51" s="101"/>
      <c r="R51" s="574">
        <v>0</v>
      </c>
      <c r="S51" s="101"/>
      <c r="T51" s="574">
        <v>0</v>
      </c>
      <c r="U51" s="101"/>
      <c r="V51" s="574">
        <v>0</v>
      </c>
      <c r="W51" s="101"/>
      <c r="X51" s="574">
        <v>0</v>
      </c>
      <c r="Y51" s="101"/>
      <c r="Z51" s="574">
        <f>H51-(J51+L51+N51+P51+R51+T51+V51+X51)</f>
        <v>0</v>
      </c>
      <c r="AA51" s="101"/>
      <c r="AB51" s="574">
        <v>0</v>
      </c>
      <c r="AC51" s="101"/>
      <c r="AD51" s="574">
        <v>0</v>
      </c>
      <c r="AE51" s="101"/>
      <c r="AF51" s="570"/>
    </row>
    <row r="52" spans="1:32" ht="13" x14ac:dyDescent="0.3">
      <c r="B52" s="56" t="s">
        <v>585</v>
      </c>
      <c r="C52" s="15" t="s">
        <v>586</v>
      </c>
      <c r="E52" s="369"/>
      <c r="F52" s="574"/>
      <c r="G52" s="101"/>
      <c r="H52" s="574">
        <v>0</v>
      </c>
      <c r="I52" s="101"/>
      <c r="J52" s="574">
        <v>0</v>
      </c>
      <c r="K52" s="101"/>
      <c r="L52" s="574">
        <v>0</v>
      </c>
      <c r="M52" s="101"/>
      <c r="N52" s="574">
        <v>0</v>
      </c>
      <c r="O52" s="101"/>
      <c r="P52" s="574">
        <v>0</v>
      </c>
      <c r="Q52" s="101"/>
      <c r="R52" s="574">
        <v>0</v>
      </c>
      <c r="S52" s="101"/>
      <c r="T52" s="574">
        <v>0</v>
      </c>
      <c r="U52" s="101"/>
      <c r="V52" s="574">
        <v>0</v>
      </c>
      <c r="W52" s="101"/>
      <c r="X52" s="574">
        <v>0</v>
      </c>
      <c r="Y52" s="101"/>
      <c r="Z52" s="574">
        <v>0</v>
      </c>
      <c r="AA52" s="101"/>
      <c r="AB52" s="574">
        <v>0</v>
      </c>
      <c r="AC52" s="101"/>
      <c r="AD52" s="574">
        <v>0</v>
      </c>
      <c r="AE52" s="101"/>
      <c r="AF52" s="529"/>
    </row>
    <row r="53" spans="1:32" ht="12.75" customHeight="1" x14ac:dyDescent="0.3">
      <c r="B53" s="56" t="s">
        <v>587</v>
      </c>
      <c r="C53" s="15" t="s">
        <v>588</v>
      </c>
      <c r="E53" s="369"/>
      <c r="F53" s="574"/>
      <c r="H53" s="574">
        <v>0</v>
      </c>
      <c r="J53" s="574">
        <v>0</v>
      </c>
      <c r="L53" s="574">
        <v>0</v>
      </c>
      <c r="N53" s="574">
        <v>0</v>
      </c>
      <c r="P53" s="574">
        <v>0</v>
      </c>
      <c r="R53" s="574">
        <v>0</v>
      </c>
      <c r="T53" s="574">
        <v>0</v>
      </c>
      <c r="V53" s="574">
        <v>0</v>
      </c>
      <c r="X53" s="574">
        <v>0</v>
      </c>
      <c r="Z53" s="574">
        <v>0</v>
      </c>
      <c r="AB53" s="574">
        <v>0</v>
      </c>
      <c r="AD53" s="574">
        <v>0</v>
      </c>
      <c r="AE53" s="101"/>
      <c r="AF53" s="530"/>
    </row>
    <row r="54" spans="1:32" ht="12.75" customHeight="1" x14ac:dyDescent="0.3">
      <c r="B54" s="56" t="s">
        <v>589</v>
      </c>
      <c r="C54" s="15" t="s">
        <v>590</v>
      </c>
      <c r="E54" s="369"/>
      <c r="F54" s="574"/>
      <c r="H54" s="574">
        <v>0</v>
      </c>
      <c r="J54" s="574">
        <v>0</v>
      </c>
      <c r="L54" s="574">
        <v>0</v>
      </c>
      <c r="N54" s="574">
        <v>0</v>
      </c>
      <c r="P54" s="574">
        <v>0</v>
      </c>
      <c r="R54" s="574">
        <v>0</v>
      </c>
      <c r="T54" s="574">
        <v>0</v>
      </c>
      <c r="V54" s="574">
        <v>0</v>
      </c>
      <c r="X54" s="574">
        <v>0</v>
      </c>
      <c r="Z54" s="574">
        <v>0</v>
      </c>
      <c r="AB54" s="574">
        <v>0</v>
      </c>
      <c r="AD54" s="574">
        <v>0</v>
      </c>
      <c r="AE54" s="101"/>
      <c r="AF54" s="530"/>
    </row>
    <row r="55" spans="1:32" ht="12.75" customHeight="1" x14ac:dyDescent="0.3">
      <c r="B55" s="56">
        <v>2</v>
      </c>
      <c r="C55" s="15" t="s">
        <v>591</v>
      </c>
      <c r="E55" s="369"/>
      <c r="F55" s="574"/>
      <c r="H55" s="536"/>
      <c r="J55" s="534"/>
      <c r="L55" s="534"/>
      <c r="N55" s="534"/>
      <c r="P55" s="534"/>
      <c r="R55" s="534"/>
      <c r="T55" s="534"/>
      <c r="V55" s="534"/>
      <c r="X55" s="534"/>
      <c r="Z55" s="574">
        <v>0</v>
      </c>
      <c r="AB55" s="534"/>
      <c r="AD55" s="534"/>
      <c r="AE55" s="101"/>
      <c r="AF55" s="530"/>
    </row>
    <row r="56" spans="1:32" ht="13" x14ac:dyDescent="0.3">
      <c r="B56" s="56">
        <v>3</v>
      </c>
      <c r="C56" s="15" t="s">
        <v>592</v>
      </c>
      <c r="E56" s="369"/>
      <c r="F56" s="541"/>
      <c r="H56" s="575">
        <f>SUM(H57:H59)</f>
        <v>0</v>
      </c>
      <c r="I56" s="101"/>
      <c r="J56" s="575">
        <f>SUM(J57:J59)</f>
        <v>0</v>
      </c>
      <c r="K56" s="101"/>
      <c r="L56" s="575">
        <f>SUM(L57:L59)</f>
        <v>0</v>
      </c>
      <c r="M56" s="101"/>
      <c r="N56" s="575">
        <f>SUM(N57:N59)</f>
        <v>0</v>
      </c>
      <c r="O56" s="101"/>
      <c r="P56" s="575">
        <f>SUM(P57:P59)</f>
        <v>0</v>
      </c>
      <c r="Q56" s="101"/>
      <c r="R56" s="575">
        <f>SUM(R57:R59)</f>
        <v>0</v>
      </c>
      <c r="S56" s="101"/>
      <c r="T56" s="575">
        <f>SUM(T57:T59)</f>
        <v>0</v>
      </c>
      <c r="U56" s="101"/>
      <c r="V56" s="575">
        <f>SUM(V57:V59)</f>
        <v>0</v>
      </c>
      <c r="W56" s="101"/>
      <c r="X56" s="575">
        <f>SUM(X57:X59)</f>
        <v>0</v>
      </c>
      <c r="Y56" s="101"/>
      <c r="Z56" s="575">
        <f>SUM(Z57:Z59)</f>
        <v>0</v>
      </c>
      <c r="AA56" s="101"/>
      <c r="AB56" s="575">
        <f>SUM(AB57:AB59)</f>
        <v>0</v>
      </c>
      <c r="AC56" s="101"/>
      <c r="AD56" s="575">
        <f>SUM(AD57:AD59)</f>
        <v>0</v>
      </c>
      <c r="AE56" s="101"/>
      <c r="AF56" s="539"/>
    </row>
    <row r="57" spans="1:32" ht="13" x14ac:dyDescent="0.3">
      <c r="B57" s="523"/>
      <c r="C57" s="522" t="s">
        <v>568</v>
      </c>
      <c r="E57" s="369"/>
      <c r="F57" s="574"/>
      <c r="H57" s="574">
        <v>0</v>
      </c>
      <c r="J57" s="574">
        <v>0</v>
      </c>
      <c r="L57" s="574">
        <v>0</v>
      </c>
      <c r="N57" s="574">
        <v>0</v>
      </c>
      <c r="P57" s="574">
        <v>0</v>
      </c>
      <c r="R57" s="574">
        <v>0</v>
      </c>
      <c r="T57" s="574">
        <v>0</v>
      </c>
      <c r="V57" s="574">
        <v>0</v>
      </c>
      <c r="X57" s="574">
        <v>0</v>
      </c>
      <c r="Z57" s="574">
        <f>H57-(J57+L57+N57+P57+R57+T57+V57+X57)</f>
        <v>0</v>
      </c>
      <c r="AB57" s="574">
        <v>0</v>
      </c>
      <c r="AD57" s="574">
        <v>0</v>
      </c>
      <c r="AF57" s="578"/>
    </row>
    <row r="58" spans="1:32" ht="13" x14ac:dyDescent="0.3">
      <c r="B58" s="524"/>
      <c r="C58" s="522" t="s">
        <v>569</v>
      </c>
      <c r="E58" s="369"/>
      <c r="F58" s="574"/>
      <c r="H58" s="574">
        <v>0</v>
      </c>
      <c r="J58" s="574">
        <v>0</v>
      </c>
      <c r="L58" s="574">
        <v>0</v>
      </c>
      <c r="N58" s="574">
        <v>0</v>
      </c>
      <c r="P58" s="574">
        <v>0</v>
      </c>
      <c r="R58" s="574">
        <v>0</v>
      </c>
      <c r="T58" s="574">
        <v>0</v>
      </c>
      <c r="V58" s="574">
        <v>0</v>
      </c>
      <c r="X58" s="574">
        <v>0</v>
      </c>
      <c r="Z58" s="574">
        <f>H58-(J58+L58+N58+P58+R58+T58+V58+X58)</f>
        <v>0</v>
      </c>
      <c r="AB58" s="574">
        <v>0</v>
      </c>
      <c r="AD58" s="574">
        <v>0</v>
      </c>
      <c r="AF58" s="578"/>
    </row>
    <row r="59" spans="1:32" ht="13" x14ac:dyDescent="0.3">
      <c r="A59" s="484"/>
      <c r="B59" s="56"/>
      <c r="C59" s="522" t="s">
        <v>570</v>
      </c>
      <c r="D59" s="56"/>
      <c r="E59" s="369"/>
      <c r="F59" s="574"/>
      <c r="G59" s="101"/>
      <c r="H59" s="574">
        <v>0</v>
      </c>
      <c r="I59" s="101"/>
      <c r="J59" s="574">
        <v>0</v>
      </c>
      <c r="K59" s="101"/>
      <c r="L59" s="574">
        <v>0</v>
      </c>
      <c r="M59" s="101"/>
      <c r="N59" s="574">
        <v>0</v>
      </c>
      <c r="O59" s="101"/>
      <c r="P59" s="574">
        <v>0</v>
      </c>
      <c r="Q59" s="101"/>
      <c r="R59" s="574">
        <v>0</v>
      </c>
      <c r="S59" s="101"/>
      <c r="T59" s="574">
        <v>0</v>
      </c>
      <c r="U59" s="101"/>
      <c r="V59" s="574">
        <v>0</v>
      </c>
      <c r="W59" s="101"/>
      <c r="X59" s="574">
        <v>0</v>
      </c>
      <c r="Y59" s="101"/>
      <c r="Z59" s="574">
        <f>H59-(J59+L59+N59+P59+R59+T59+V59+X59)</f>
        <v>0</v>
      </c>
      <c r="AA59" s="101"/>
      <c r="AB59" s="574">
        <v>0</v>
      </c>
      <c r="AC59" s="101"/>
      <c r="AD59" s="574">
        <v>0</v>
      </c>
      <c r="AE59" s="101"/>
      <c r="AF59" s="570"/>
    </row>
    <row r="60" spans="1:32" ht="13" x14ac:dyDescent="0.3">
      <c r="B60" s="56">
        <v>4</v>
      </c>
      <c r="C60" s="15" t="s">
        <v>593</v>
      </c>
      <c r="E60" s="369"/>
      <c r="F60" s="541"/>
      <c r="H60" s="575">
        <f>SUM(H61:H63)</f>
        <v>0</v>
      </c>
      <c r="I60" s="101"/>
      <c r="J60" s="575">
        <f>SUM(J61:J63)</f>
        <v>0</v>
      </c>
      <c r="K60" s="101"/>
      <c r="L60" s="575">
        <f>SUM(L61:L63)</f>
        <v>0</v>
      </c>
      <c r="M60" s="101"/>
      <c r="N60" s="575">
        <f>SUM(N61:N63)</f>
        <v>0</v>
      </c>
      <c r="O60" s="101"/>
      <c r="P60" s="575">
        <f>SUM(P61:P63)</f>
        <v>0</v>
      </c>
      <c r="Q60" s="101"/>
      <c r="R60" s="575">
        <f>SUM(R61:R63)</f>
        <v>0</v>
      </c>
      <c r="S60" s="101"/>
      <c r="T60" s="575">
        <f>SUM(T61:T63)</f>
        <v>0</v>
      </c>
      <c r="U60" s="101"/>
      <c r="V60" s="575">
        <f>SUM(V61:V63)</f>
        <v>0</v>
      </c>
      <c r="W60" s="101"/>
      <c r="X60" s="575">
        <f>SUM(X61:X63)</f>
        <v>0</v>
      </c>
      <c r="Y60" s="101"/>
      <c r="Z60" s="575">
        <f>SUM(Z61:Z63)</f>
        <v>0</v>
      </c>
      <c r="AA60" s="101"/>
      <c r="AB60" s="575">
        <f>SUM(AB61:AB63)</f>
        <v>0</v>
      </c>
      <c r="AC60" s="101"/>
      <c r="AD60" s="575">
        <f>SUM(AD61:AD63)</f>
        <v>0</v>
      </c>
      <c r="AF60" s="539"/>
    </row>
    <row r="61" spans="1:32" ht="13" x14ac:dyDescent="0.3">
      <c r="B61" s="524"/>
      <c r="C61" s="522" t="s">
        <v>568</v>
      </c>
      <c r="E61" s="369"/>
      <c r="F61" s="574"/>
      <c r="H61" s="574">
        <v>0</v>
      </c>
      <c r="J61" s="574">
        <v>0</v>
      </c>
      <c r="L61" s="574">
        <v>0</v>
      </c>
      <c r="N61" s="574">
        <v>0</v>
      </c>
      <c r="P61" s="574">
        <v>0</v>
      </c>
      <c r="R61" s="574">
        <v>0</v>
      </c>
      <c r="T61" s="574">
        <v>0</v>
      </c>
      <c r="V61" s="574">
        <v>0</v>
      </c>
      <c r="X61" s="574">
        <v>0</v>
      </c>
      <c r="Z61" s="574">
        <f>H61-(J61+L61+N61+P61+R61+T61+V61+X61)</f>
        <v>0</v>
      </c>
      <c r="AB61" s="574">
        <v>0</v>
      </c>
      <c r="AD61" s="574">
        <v>0</v>
      </c>
      <c r="AF61" s="530"/>
    </row>
    <row r="62" spans="1:32" ht="13" x14ac:dyDescent="0.3">
      <c r="B62" s="524"/>
      <c r="C62" s="522" t="s">
        <v>569</v>
      </c>
      <c r="E62" s="369"/>
      <c r="F62" s="574"/>
      <c r="H62" s="574">
        <v>0</v>
      </c>
      <c r="J62" s="574">
        <v>0</v>
      </c>
      <c r="L62" s="574">
        <v>0</v>
      </c>
      <c r="N62" s="574">
        <v>0</v>
      </c>
      <c r="P62" s="574">
        <v>0</v>
      </c>
      <c r="R62" s="574">
        <v>0</v>
      </c>
      <c r="T62" s="574">
        <v>0</v>
      </c>
      <c r="V62" s="574">
        <v>0</v>
      </c>
      <c r="X62" s="574">
        <v>0</v>
      </c>
      <c r="Z62" s="574">
        <f>H62-(J62+L62+N62+P62+R62+T62+V62+X62)</f>
        <v>0</v>
      </c>
      <c r="AB62" s="574">
        <v>0</v>
      </c>
      <c r="AD62" s="574">
        <v>0</v>
      </c>
      <c r="AF62" s="530"/>
    </row>
    <row r="63" spans="1:32" ht="13" x14ac:dyDescent="0.3">
      <c r="A63" s="484"/>
      <c r="B63" s="56"/>
      <c r="C63" s="522" t="s">
        <v>570</v>
      </c>
      <c r="D63" s="56"/>
      <c r="E63" s="369"/>
      <c r="F63" s="575"/>
      <c r="G63" s="101"/>
      <c r="H63" s="574">
        <v>0</v>
      </c>
      <c r="I63" s="101"/>
      <c r="J63" s="574">
        <v>0</v>
      </c>
      <c r="K63" s="101"/>
      <c r="L63" s="574">
        <v>0</v>
      </c>
      <c r="M63" s="101"/>
      <c r="N63" s="574">
        <v>0</v>
      </c>
      <c r="O63" s="101"/>
      <c r="P63" s="574">
        <v>0</v>
      </c>
      <c r="Q63" s="101"/>
      <c r="R63" s="574">
        <v>0</v>
      </c>
      <c r="S63" s="101"/>
      <c r="T63" s="574">
        <v>0</v>
      </c>
      <c r="U63" s="101"/>
      <c r="V63" s="574">
        <v>0</v>
      </c>
      <c r="W63" s="101"/>
      <c r="X63" s="574">
        <v>0</v>
      </c>
      <c r="Y63" s="101"/>
      <c r="Z63" s="574">
        <f>H63-(J63+L63+N63+P63+R63+T63+V63+X63)</f>
        <v>0</v>
      </c>
      <c r="AA63" s="101"/>
      <c r="AB63" s="574">
        <v>0</v>
      </c>
      <c r="AC63" s="101"/>
      <c r="AD63" s="574">
        <v>0</v>
      </c>
      <c r="AE63" s="101"/>
      <c r="AF63" s="577"/>
    </row>
    <row r="64" spans="1:32" ht="13.5" thickBot="1" x14ac:dyDescent="0.35">
      <c r="B64" s="56">
        <v>5</v>
      </c>
      <c r="C64" s="15" t="s">
        <v>58</v>
      </c>
      <c r="E64" s="425"/>
      <c r="F64" s="535"/>
      <c r="G64" s="170"/>
      <c r="H64" s="576">
        <f>H16+H20+H24+H28+H32+H36+H40+H44+H48+H52+H53+H54+H56+H60</f>
        <v>0</v>
      </c>
      <c r="I64" s="170"/>
      <c r="J64" s="576">
        <f>J16+J20+J24+J28+J32+J36+J40+J44+J48+J52+J53+J54+J56+J60</f>
        <v>0</v>
      </c>
      <c r="K64" s="170"/>
      <c r="L64" s="576">
        <f>L16+L20+L24+L28+L32+L36+L40+L44+L48+L52+L53+L54+L56+L60</f>
        <v>0</v>
      </c>
      <c r="M64" s="170"/>
      <c r="N64" s="576">
        <f>N16+N20+N24+N28+N32+N36+N40+N44+N48+N52+N53+N54+N56+N60</f>
        <v>0</v>
      </c>
      <c r="O64" s="170"/>
      <c r="P64" s="576">
        <f>P16+P20+P24+P28+P32+P36+P40+P44+P48+P52+P53+P54+P56+P60</f>
        <v>0</v>
      </c>
      <c r="Q64" s="170"/>
      <c r="R64" s="576">
        <f>R16+R20+R24+R28+R32+R36+R40+R44+R48+R52+R53+R54+R56+R60</f>
        <v>0</v>
      </c>
      <c r="S64" s="170"/>
      <c r="T64" s="576">
        <f>T16+T20+T24+T28+T32+T36+T40+T44+T48+T52+T53+T54+T56+T60</f>
        <v>0</v>
      </c>
      <c r="U64" s="170"/>
      <c r="V64" s="576">
        <f>V16+V20+V24+V28+V32+V36+V40+V44+V48+V52+V53+V54+V56+V60</f>
        <v>0</v>
      </c>
      <c r="W64" s="170"/>
      <c r="X64" s="576">
        <f>X16+X20+X24+X28+X32+X36+X40+X44+X48+X52+X53+X54+X56+X60</f>
        <v>0</v>
      </c>
      <c r="Y64" s="170"/>
      <c r="Z64" s="576">
        <f>Z16+Z20+Z24+Z28+Z32+Z36+Z40+Z44+Z48+Z52+Z53+Z54+Z56+Z60</f>
        <v>0</v>
      </c>
      <c r="AA64" s="170"/>
      <c r="AB64" s="576">
        <f>AB16+AB20+AB24+AB28+AB32+AB36+AB40+AB44+AB48+AB52+AB53+AB54+AB56+AB60</f>
        <v>0</v>
      </c>
      <c r="AC64" s="170"/>
      <c r="AD64" s="576">
        <f>AD16+AD20+AD24+AD28+AD32+AD36+AD40+AD44+AD48+AD52+AD53+AD54+AD56+AD60</f>
        <v>0</v>
      </c>
      <c r="AE64" s="170"/>
      <c r="AF64" s="531"/>
    </row>
  </sheetData>
  <mergeCells count="5">
    <mergeCell ref="B1:M1"/>
    <mergeCell ref="B2:M2"/>
    <mergeCell ref="B3:M3"/>
    <mergeCell ref="B4:M4"/>
    <mergeCell ref="C13:C14"/>
  </mergeCells>
  <phoneticPr fontId="49" type="noConversion"/>
  <dataValidations count="1">
    <dataValidation type="list" allowBlank="1" showInputMessage="1" showErrorMessage="1" sqref="C10" xr:uid="{00000000-0002-0000-0D00-000000000000}">
      <formula1>$N$1:$N$6</formula1>
    </dataValidation>
  </dataValidation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>
    <tabColor theme="3"/>
  </sheetPr>
  <dimension ref="A1:I29"/>
  <sheetViews>
    <sheetView topLeftCell="A3" workbookViewId="0">
      <selection activeCell="K10" sqref="K10"/>
    </sheetView>
  </sheetViews>
  <sheetFormatPr defaultColWidth="9.7265625" defaultRowHeight="12.5" x14ac:dyDescent="0.25"/>
  <cols>
    <col min="1" max="1" width="6.54296875" style="15" bestFit="1" customWidth="1"/>
    <col min="2" max="2" width="51.1796875" style="15" customWidth="1"/>
    <col min="3" max="3" width="6.54296875" style="15" bestFit="1" customWidth="1"/>
    <col min="4" max="4" width="6" style="15" customWidth="1"/>
    <col min="5" max="5" width="16.54296875" style="15" customWidth="1"/>
    <col min="6" max="6" width="5.1796875" style="15" customWidth="1"/>
    <col min="7" max="7" width="16.54296875" style="15" customWidth="1"/>
    <col min="8" max="8" width="5.1796875" style="15" customWidth="1"/>
    <col min="9" max="9" width="16.54296875" style="15" customWidth="1"/>
    <col min="10" max="10" width="5.1796875" style="15" customWidth="1"/>
    <col min="11" max="11" width="16.54296875" style="15" customWidth="1"/>
    <col min="12" max="12" width="5.1796875" style="15" customWidth="1"/>
    <col min="13" max="13" width="16.54296875" style="15" customWidth="1"/>
    <col min="14" max="14" width="5.1796875" style="15" customWidth="1"/>
    <col min="15" max="15" width="16.54296875" style="15" customWidth="1"/>
    <col min="16" max="16" width="5.1796875" style="15" customWidth="1"/>
    <col min="17" max="17" width="16.54296875" style="15" customWidth="1"/>
    <col min="18" max="16384" width="9.7265625" style="15"/>
  </cols>
  <sheetData>
    <row r="1" spans="1:9" customFormat="1" ht="13" x14ac:dyDescent="0.3">
      <c r="A1" s="717">
        <f>'Basic Information'!B4</f>
        <v>0</v>
      </c>
      <c r="B1" s="718"/>
      <c r="C1" s="718"/>
      <c r="D1" s="718"/>
      <c r="E1" s="718"/>
      <c r="F1" s="718"/>
      <c r="G1" s="718"/>
      <c r="H1" s="718"/>
      <c r="I1" s="718"/>
    </row>
    <row r="2" spans="1:9" customFormat="1" x14ac:dyDescent="0.25">
      <c r="A2" s="720" t="s">
        <v>594</v>
      </c>
      <c r="B2" s="721"/>
      <c r="C2" s="721"/>
      <c r="D2" s="721"/>
      <c r="E2" s="721"/>
      <c r="F2" s="721"/>
      <c r="G2" s="721"/>
      <c r="H2" s="721"/>
      <c r="I2" s="721"/>
    </row>
    <row r="3" spans="1:9" customFormat="1" x14ac:dyDescent="0.25">
      <c r="A3" s="723" t="str">
        <f>'Basic Information'!B1</f>
        <v>12/31/24</v>
      </c>
      <c r="B3" s="721"/>
      <c r="C3" s="721"/>
      <c r="D3" s="721"/>
      <c r="E3" s="721"/>
      <c r="F3" s="721"/>
      <c r="G3" s="721"/>
      <c r="H3" s="721"/>
      <c r="I3" s="721"/>
    </row>
    <row r="4" spans="1:9" customFormat="1" x14ac:dyDescent="0.25">
      <c r="A4" s="724" t="s">
        <v>137</v>
      </c>
      <c r="B4" s="725"/>
      <c r="C4" s="725"/>
      <c r="D4" s="725"/>
      <c r="E4" s="725"/>
      <c r="F4" s="725"/>
      <c r="G4" s="725"/>
      <c r="H4" s="725"/>
      <c r="I4" s="725"/>
    </row>
    <row r="5" spans="1:9" customFormat="1" ht="13.5" thickBot="1" x14ac:dyDescent="0.35">
      <c r="A5" s="552"/>
      <c r="B5" s="557"/>
      <c r="C5" s="558"/>
      <c r="D5" s="558"/>
      <c r="E5" s="553"/>
      <c r="F5" s="553"/>
      <c r="G5" s="553"/>
      <c r="H5" s="553"/>
      <c r="I5" s="553"/>
    </row>
    <row r="6" spans="1:9" customFormat="1" ht="4.5" customHeight="1" x14ac:dyDescent="0.25"/>
    <row r="7" spans="1:9" customFormat="1" ht="13" thickBot="1" x14ac:dyDescent="0.3"/>
    <row r="8" spans="1:9" customFormat="1" ht="15.75" customHeight="1" x14ac:dyDescent="0.3">
      <c r="A8" s="206"/>
      <c r="B8" s="305" t="s">
        <v>320</v>
      </c>
      <c r="C8" s="291"/>
      <c r="D8" s="423"/>
      <c r="E8" s="303" t="s">
        <v>321</v>
      </c>
      <c r="F8" s="423"/>
      <c r="G8" s="303" t="s">
        <v>322</v>
      </c>
      <c r="H8" s="423"/>
      <c r="I8" s="306" t="s">
        <v>323</v>
      </c>
    </row>
    <row r="9" spans="1:9" customFormat="1" ht="46.5" customHeight="1" x14ac:dyDescent="0.3">
      <c r="A9" s="424"/>
      <c r="B9" s="426" t="s">
        <v>595</v>
      </c>
      <c r="C9" s="290"/>
      <c r="D9" s="302" t="s">
        <v>43</v>
      </c>
      <c r="E9" s="310" t="s">
        <v>596</v>
      </c>
      <c r="F9" s="302" t="s">
        <v>43</v>
      </c>
      <c r="G9" s="310" t="s">
        <v>597</v>
      </c>
      <c r="H9" s="302" t="s">
        <v>43</v>
      </c>
      <c r="I9" s="312" t="s">
        <v>598</v>
      </c>
    </row>
    <row r="10" spans="1:9" ht="13" x14ac:dyDescent="0.3">
      <c r="A10" s="168">
        <v>1</v>
      </c>
      <c r="B10" s="427"/>
      <c r="C10" s="67">
        <v>1</v>
      </c>
      <c r="D10" s="67"/>
      <c r="E10" s="654"/>
      <c r="F10" s="67"/>
      <c r="G10" s="654"/>
      <c r="H10" s="67"/>
      <c r="I10" s="656"/>
    </row>
    <row r="11" spans="1:9" ht="13" x14ac:dyDescent="0.3">
      <c r="A11" s="168">
        <v>2</v>
      </c>
      <c r="B11" s="427"/>
      <c r="C11" s="67">
        <v>2</v>
      </c>
      <c r="D11" s="67"/>
      <c r="E11" s="654"/>
      <c r="F11" s="67"/>
      <c r="G11" s="654"/>
      <c r="H11" s="67"/>
      <c r="I11" s="656"/>
    </row>
    <row r="12" spans="1:9" ht="13" x14ac:dyDescent="0.3">
      <c r="A12" s="168">
        <v>3</v>
      </c>
      <c r="B12" s="427"/>
      <c r="C12" s="67">
        <v>3</v>
      </c>
      <c r="D12" s="67"/>
      <c r="E12" s="654"/>
      <c r="F12" s="67"/>
      <c r="G12" s="654"/>
      <c r="H12" s="67"/>
      <c r="I12" s="656"/>
    </row>
    <row r="13" spans="1:9" ht="13" x14ac:dyDescent="0.3">
      <c r="A13" s="168">
        <v>4</v>
      </c>
      <c r="B13" s="427"/>
      <c r="C13" s="67">
        <v>4</v>
      </c>
      <c r="D13" s="67"/>
      <c r="E13" s="654"/>
      <c r="F13" s="67"/>
      <c r="G13" s="654"/>
      <c r="H13" s="67"/>
      <c r="I13" s="656"/>
    </row>
    <row r="14" spans="1:9" ht="13" x14ac:dyDescent="0.3">
      <c r="A14" s="168">
        <v>5</v>
      </c>
      <c r="B14" s="427"/>
      <c r="C14" s="67">
        <v>5</v>
      </c>
      <c r="D14" s="67"/>
      <c r="E14" s="654"/>
      <c r="F14" s="67"/>
      <c r="G14" s="654"/>
      <c r="H14" s="67"/>
      <c r="I14" s="656"/>
    </row>
    <row r="15" spans="1:9" ht="13" x14ac:dyDescent="0.3">
      <c r="A15" s="168">
        <v>6</v>
      </c>
      <c r="B15" s="427"/>
      <c r="C15" s="67">
        <v>6</v>
      </c>
      <c r="D15" s="67"/>
      <c r="E15" s="654"/>
      <c r="F15" s="67"/>
      <c r="G15" s="654"/>
      <c r="H15" s="67"/>
      <c r="I15" s="656"/>
    </row>
    <row r="16" spans="1:9" ht="13" x14ac:dyDescent="0.3">
      <c r="A16" s="168">
        <v>7</v>
      </c>
      <c r="B16" s="427"/>
      <c r="C16" s="67">
        <v>7</v>
      </c>
      <c r="D16" s="67"/>
      <c r="E16" s="654"/>
      <c r="F16" s="67"/>
      <c r="G16" s="654"/>
      <c r="H16" s="67"/>
      <c r="I16" s="656"/>
    </row>
    <row r="17" spans="1:9" ht="13" x14ac:dyDescent="0.3">
      <c r="A17" s="168">
        <v>8</v>
      </c>
      <c r="B17" s="427"/>
      <c r="C17" s="67">
        <v>8</v>
      </c>
      <c r="D17" s="67"/>
      <c r="E17" s="654"/>
      <c r="F17" s="67"/>
      <c r="G17" s="654"/>
      <c r="H17" s="67"/>
      <c r="I17" s="656"/>
    </row>
    <row r="18" spans="1:9" ht="13" x14ac:dyDescent="0.3">
      <c r="A18" s="168">
        <v>9</v>
      </c>
      <c r="B18" s="427"/>
      <c r="C18" s="67">
        <v>9</v>
      </c>
      <c r="D18" s="67"/>
      <c r="E18" s="654"/>
      <c r="F18" s="67"/>
      <c r="G18" s="654"/>
      <c r="H18" s="67"/>
      <c r="I18" s="656"/>
    </row>
    <row r="19" spans="1:9" ht="13" x14ac:dyDescent="0.3">
      <c r="A19" s="168">
        <v>10</v>
      </c>
      <c r="B19" s="427"/>
      <c r="C19" s="67">
        <v>10</v>
      </c>
      <c r="D19" s="67"/>
      <c r="E19" s="654"/>
      <c r="F19" s="67"/>
      <c r="G19" s="654"/>
      <c r="H19" s="67"/>
      <c r="I19" s="656"/>
    </row>
    <row r="20" spans="1:9" ht="13" x14ac:dyDescent="0.3">
      <c r="A20" s="168">
        <v>11</v>
      </c>
      <c r="B20" s="427"/>
      <c r="C20" s="67">
        <v>11</v>
      </c>
      <c r="D20" s="67"/>
      <c r="E20" s="654"/>
      <c r="F20" s="67"/>
      <c r="G20" s="654"/>
      <c r="H20" s="67"/>
      <c r="I20" s="656"/>
    </row>
    <row r="21" spans="1:9" ht="13" x14ac:dyDescent="0.3">
      <c r="A21" s="168">
        <v>12</v>
      </c>
      <c r="B21" s="427"/>
      <c r="C21" s="67">
        <v>12</v>
      </c>
      <c r="D21" s="67"/>
      <c r="E21" s="654"/>
      <c r="F21" s="67"/>
      <c r="G21" s="654"/>
      <c r="H21" s="67"/>
      <c r="I21" s="656"/>
    </row>
    <row r="22" spans="1:9" ht="13" x14ac:dyDescent="0.3">
      <c r="A22" s="168">
        <v>13</v>
      </c>
      <c r="B22" s="427"/>
      <c r="C22" s="67">
        <v>13</v>
      </c>
      <c r="D22" s="67"/>
      <c r="E22" s="654"/>
      <c r="F22" s="67"/>
      <c r="G22" s="654"/>
      <c r="H22" s="67"/>
      <c r="I22" s="656"/>
    </row>
    <row r="23" spans="1:9" ht="13" x14ac:dyDescent="0.3">
      <c r="A23" s="168">
        <v>14</v>
      </c>
      <c r="B23" s="427"/>
      <c r="C23" s="67">
        <v>14</v>
      </c>
      <c r="D23" s="67"/>
      <c r="E23" s="654"/>
      <c r="F23" s="67"/>
      <c r="G23" s="654"/>
      <c r="H23" s="67"/>
      <c r="I23" s="656"/>
    </row>
    <row r="24" spans="1:9" ht="13" x14ac:dyDescent="0.3">
      <c r="A24" s="168">
        <v>15</v>
      </c>
      <c r="B24" s="427"/>
      <c r="C24" s="67">
        <v>15</v>
      </c>
      <c r="D24" s="67"/>
      <c r="E24" s="654"/>
      <c r="F24" s="67"/>
      <c r="G24" s="654"/>
      <c r="H24" s="67"/>
      <c r="I24" s="656"/>
    </row>
    <row r="25" spans="1:9" ht="13" x14ac:dyDescent="0.3">
      <c r="A25" s="168">
        <v>16</v>
      </c>
      <c r="B25" s="427"/>
      <c r="C25" s="67">
        <v>16</v>
      </c>
      <c r="D25" s="67"/>
      <c r="E25" s="654"/>
      <c r="F25" s="67"/>
      <c r="G25" s="654"/>
      <c r="H25" s="67"/>
      <c r="I25" s="656"/>
    </row>
    <row r="26" spans="1:9" ht="13" x14ac:dyDescent="0.3">
      <c r="A26" s="168">
        <v>17</v>
      </c>
      <c r="B26" s="427"/>
      <c r="C26" s="67">
        <v>17</v>
      </c>
      <c r="D26" s="67"/>
      <c r="E26" s="654"/>
      <c r="F26" s="67"/>
      <c r="G26" s="654"/>
      <c r="H26" s="67"/>
      <c r="I26" s="656"/>
    </row>
    <row r="27" spans="1:9" ht="13" x14ac:dyDescent="0.3">
      <c r="A27" s="168">
        <v>18</v>
      </c>
      <c r="B27" s="427"/>
      <c r="C27" s="67">
        <v>18</v>
      </c>
      <c r="D27" s="67"/>
      <c r="E27" s="654"/>
      <c r="F27" s="67"/>
      <c r="G27" s="654"/>
      <c r="H27" s="67"/>
      <c r="I27" s="656"/>
    </row>
    <row r="28" spans="1:9" ht="13" x14ac:dyDescent="0.3">
      <c r="A28" s="168">
        <v>19</v>
      </c>
      <c r="B28" s="427"/>
      <c r="C28" s="67">
        <v>19</v>
      </c>
      <c r="D28" s="67"/>
      <c r="E28" s="654"/>
      <c r="F28" s="67"/>
      <c r="G28" s="654"/>
      <c r="H28" s="67"/>
      <c r="I28" s="656"/>
    </row>
    <row r="29" spans="1:9" ht="13.5" thickBot="1" x14ac:dyDescent="0.35">
      <c r="A29" s="425">
        <v>20</v>
      </c>
      <c r="B29" s="459"/>
      <c r="C29" s="286">
        <v>20</v>
      </c>
      <c r="D29" s="286"/>
      <c r="E29" s="655"/>
      <c r="F29" s="286"/>
      <c r="G29" s="655"/>
      <c r="H29" s="286"/>
      <c r="I29" s="657"/>
    </row>
  </sheetData>
  <mergeCells count="4">
    <mergeCell ref="A1:I1"/>
    <mergeCell ref="A2:I2"/>
    <mergeCell ref="A3:I3"/>
    <mergeCell ref="A4:I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 tint="-0.249977111117893"/>
  </sheetPr>
  <dimension ref="A1:I90"/>
  <sheetViews>
    <sheetView zoomScale="130" zoomScaleNormal="130" workbookViewId="0">
      <selection sqref="A1:D1"/>
    </sheetView>
  </sheetViews>
  <sheetFormatPr defaultColWidth="9.1796875" defaultRowHeight="12.5" x14ac:dyDescent="0.25"/>
  <cols>
    <col min="1" max="1" width="3.7265625" style="18" customWidth="1"/>
    <col min="2" max="2" width="66.7265625" style="18" bestFit="1" customWidth="1"/>
    <col min="3" max="3" width="6.54296875" style="18" customWidth="1"/>
    <col min="4" max="4" width="13.81640625" style="18" customWidth="1"/>
    <col min="5" max="5" width="4.54296875" style="18" customWidth="1"/>
    <col min="6" max="6" width="14" style="18" customWidth="1"/>
    <col min="7" max="8" width="9.1796875" style="18"/>
    <col min="9" max="9" width="10.1796875" style="18" bestFit="1" customWidth="1"/>
    <col min="10" max="16384" width="9.1796875" style="18"/>
  </cols>
  <sheetData>
    <row r="1" spans="1:5" ht="13" x14ac:dyDescent="0.3">
      <c r="A1" s="717">
        <f>'Basic Information'!B4</f>
        <v>0</v>
      </c>
      <c r="B1" s="718"/>
      <c r="C1" s="718"/>
      <c r="D1" s="719"/>
    </row>
    <row r="2" spans="1:5" x14ac:dyDescent="0.25">
      <c r="A2" s="720" t="s">
        <v>599</v>
      </c>
      <c r="B2" s="721"/>
      <c r="C2" s="721"/>
      <c r="D2" s="722"/>
    </row>
    <row r="3" spans="1:5" x14ac:dyDescent="0.25">
      <c r="A3" s="723" t="str">
        <f>'Basic Information'!B1</f>
        <v>12/31/24</v>
      </c>
      <c r="B3" s="721"/>
      <c r="C3" s="721"/>
      <c r="D3" s="722"/>
    </row>
    <row r="4" spans="1:5" x14ac:dyDescent="0.25">
      <c r="A4" s="724" t="s">
        <v>312</v>
      </c>
      <c r="B4" s="725"/>
      <c r="C4" s="725"/>
      <c r="D4" s="726"/>
    </row>
    <row r="5" spans="1:5" ht="13.5" thickBot="1" x14ac:dyDescent="0.35">
      <c r="A5" s="552"/>
      <c r="B5" s="553"/>
      <c r="C5" s="553"/>
      <c r="D5" s="554"/>
    </row>
    <row r="6" spans="1:5" ht="13.5" thickBot="1" x14ac:dyDescent="0.35">
      <c r="A6" s="365"/>
      <c r="B6" s="166"/>
      <c r="C6" s="166"/>
      <c r="D6" s="366"/>
    </row>
    <row r="7" spans="1:5" ht="13.5" thickBot="1" x14ac:dyDescent="0.35">
      <c r="A7" s="667" t="s">
        <v>600</v>
      </c>
      <c r="B7" s="668"/>
      <c r="C7" s="669"/>
      <c r="D7" s="421"/>
    </row>
    <row r="8" spans="1:5" ht="13" x14ac:dyDescent="0.3">
      <c r="A8" s="365"/>
      <c r="B8" s="166"/>
      <c r="C8" s="376" t="s">
        <v>43</v>
      </c>
      <c r="D8" s="39"/>
      <c r="E8" s="273" t="s">
        <v>43</v>
      </c>
    </row>
    <row r="9" spans="1:5" ht="13" x14ac:dyDescent="0.3">
      <c r="A9" s="373" t="s">
        <v>50</v>
      </c>
      <c r="B9" s="87" t="s">
        <v>601</v>
      </c>
      <c r="C9" s="370"/>
      <c r="D9" s="65"/>
    </row>
    <row r="10" spans="1:5" ht="13" x14ac:dyDescent="0.3">
      <c r="A10" s="373" t="s">
        <v>152</v>
      </c>
      <c r="B10" s="68" t="s">
        <v>602</v>
      </c>
      <c r="C10" s="370"/>
      <c r="D10" s="653"/>
    </row>
    <row r="11" spans="1:5" ht="13" x14ac:dyDescent="0.3">
      <c r="A11" s="373" t="s">
        <v>89</v>
      </c>
      <c r="B11" s="39" t="s">
        <v>603</v>
      </c>
      <c r="C11" s="39"/>
      <c r="D11" s="653"/>
    </row>
    <row r="12" spans="1:5" ht="13" x14ac:dyDescent="0.3">
      <c r="A12" s="373" t="s">
        <v>133</v>
      </c>
      <c r="B12" s="39" t="s">
        <v>604</v>
      </c>
      <c r="C12" s="370"/>
      <c r="D12" s="653"/>
    </row>
    <row r="13" spans="1:5" ht="13" x14ac:dyDescent="0.3">
      <c r="A13" s="373" t="s">
        <v>170</v>
      </c>
      <c r="B13" s="39" t="s">
        <v>605</v>
      </c>
      <c r="C13" s="370"/>
      <c r="D13" s="653"/>
    </row>
    <row r="14" spans="1:5" ht="13" x14ac:dyDescent="0.3">
      <c r="A14" s="373" t="s">
        <v>190</v>
      </c>
      <c r="B14" s="39" t="s">
        <v>606</v>
      </c>
      <c r="C14" s="370"/>
      <c r="D14" s="653"/>
    </row>
    <row r="15" spans="1:5" ht="13" x14ac:dyDescent="0.3">
      <c r="A15" s="373" t="s">
        <v>193</v>
      </c>
      <c r="B15" s="39" t="s">
        <v>607</v>
      </c>
      <c r="C15" s="370"/>
      <c r="D15" s="653"/>
    </row>
    <row r="16" spans="1:5" ht="13" x14ac:dyDescent="0.3">
      <c r="A16" s="373" t="s">
        <v>208</v>
      </c>
      <c r="B16" s="39" t="s">
        <v>608</v>
      </c>
      <c r="C16" s="370"/>
      <c r="D16" s="653"/>
    </row>
    <row r="17" spans="1:6" ht="13" x14ac:dyDescent="0.3">
      <c r="A17" s="373" t="s">
        <v>210</v>
      </c>
      <c r="B17" s="39" t="s">
        <v>609</v>
      </c>
      <c r="C17" s="370"/>
      <c r="D17" s="653"/>
    </row>
    <row r="18" spans="1:6" ht="13" x14ac:dyDescent="0.3">
      <c r="A18" s="373" t="s">
        <v>419</v>
      </c>
      <c r="B18" s="39" t="s">
        <v>610</v>
      </c>
      <c r="C18" s="370"/>
      <c r="D18" s="653"/>
    </row>
    <row r="19" spans="1:6" ht="13" x14ac:dyDescent="0.3">
      <c r="A19" s="373" t="s">
        <v>51</v>
      </c>
      <c r="B19" s="39" t="s">
        <v>601</v>
      </c>
      <c r="C19" s="370"/>
      <c r="D19" s="370"/>
      <c r="E19" s="370"/>
      <c r="F19" s="420">
        <f>SUM(D10:D18)</f>
        <v>0</v>
      </c>
    </row>
    <row r="20" spans="1:6" ht="13" x14ac:dyDescent="0.3">
      <c r="A20" s="373" t="s">
        <v>52</v>
      </c>
      <c r="B20" s="39" t="s">
        <v>611</v>
      </c>
      <c r="C20" s="370"/>
      <c r="D20" s="370"/>
      <c r="E20" s="370"/>
      <c r="F20" s="653"/>
    </row>
    <row r="21" spans="1:6" ht="13" x14ac:dyDescent="0.3">
      <c r="A21" s="373" t="s">
        <v>53</v>
      </c>
      <c r="B21" s="39" t="s">
        <v>612</v>
      </c>
      <c r="C21" s="370"/>
      <c r="D21" s="370"/>
      <c r="E21" s="370"/>
      <c r="F21" s="653"/>
    </row>
    <row r="22" spans="1:6" ht="13" x14ac:dyDescent="0.3">
      <c r="A22" s="373" t="s">
        <v>54</v>
      </c>
      <c r="B22" s="39" t="s">
        <v>613</v>
      </c>
      <c r="C22" s="370"/>
      <c r="D22" s="370"/>
      <c r="E22" s="370"/>
      <c r="F22" s="420">
        <f>SUM(F19:F21)</f>
        <v>0</v>
      </c>
    </row>
    <row r="23" spans="1:6" ht="13" x14ac:dyDescent="0.3">
      <c r="A23" s="373" t="s">
        <v>55</v>
      </c>
      <c r="B23" s="39" t="s">
        <v>614</v>
      </c>
      <c r="C23" s="370"/>
      <c r="D23" s="370"/>
      <c r="E23" s="370"/>
      <c r="F23" s="653"/>
    </row>
    <row r="24" spans="1:6" ht="13" x14ac:dyDescent="0.3">
      <c r="A24" s="373" t="s">
        <v>56</v>
      </c>
      <c r="B24" s="39" t="s">
        <v>615</v>
      </c>
      <c r="C24" s="370"/>
      <c r="D24" s="370"/>
      <c r="E24" s="370"/>
      <c r="F24" s="420">
        <f>F22+F23</f>
        <v>0</v>
      </c>
    </row>
    <row r="25" spans="1:6" ht="13" x14ac:dyDescent="0.3">
      <c r="A25" s="373" t="s">
        <v>57</v>
      </c>
      <c r="B25" s="39" t="s">
        <v>616</v>
      </c>
      <c r="C25" s="370"/>
      <c r="D25" s="370"/>
      <c r="E25" s="436"/>
      <c r="F25" s="420" t="e">
        <f>0.05*('Income Statement'!L7+SUMIF('Income Statement'!L14:L20,"&gt;0",'Income Statement'!L14:L20)+SUMIF('Income Statement'!L22:L24,"&gt;0",'Income Statement'!L22:L24))</f>
        <v>#DIV/0!</v>
      </c>
    </row>
    <row r="26" spans="1:6" ht="13" x14ac:dyDescent="0.3">
      <c r="A26" s="373" t="s">
        <v>617</v>
      </c>
      <c r="B26" s="39" t="s">
        <v>618</v>
      </c>
      <c r="C26" s="370"/>
      <c r="D26" s="370"/>
      <c r="E26" s="436"/>
      <c r="F26" s="420" t="e">
        <f>0.7*('Income Statement'!L7+SUMIF('Income Statement'!L14:L20,"&gt;0",'Income Statement'!L14:L20)+SUMIF('Income Statement'!L22:L24,"&gt;0",'Income Statement'!L22:L24))</f>
        <v>#DIV/0!</v>
      </c>
    </row>
    <row r="27" spans="1:6" ht="13" x14ac:dyDescent="0.3">
      <c r="A27" s="373" t="s">
        <v>619</v>
      </c>
      <c r="B27" s="39" t="s">
        <v>620</v>
      </c>
      <c r="C27" s="370"/>
      <c r="D27" s="370"/>
      <c r="E27" s="370"/>
      <c r="F27" s="420" t="str">
        <f>IF(F24=0,"No",IF(AND(F24&lt;F25,F24&lt;1000000),"No","Yes"))</f>
        <v>No</v>
      </c>
    </row>
    <row r="28" spans="1:6" ht="13" x14ac:dyDescent="0.3">
      <c r="A28" s="373" t="s">
        <v>621</v>
      </c>
      <c r="B28" s="39" t="s">
        <v>622</v>
      </c>
      <c r="C28" s="370"/>
      <c r="D28" s="370"/>
      <c r="E28" s="436"/>
      <c r="F28" s="420" t="e">
        <f>IF(F24&gt;F26,('Income Statement'!L7+SUMIF('Income Statement'!L14:L20,"&gt;0",'Income Statement'!L14:L20)+SUMIF('Income Statement'!L22:L24,"&gt;0",'Income Statement'!L22:L24)),0)</f>
        <v>#DIV/0!</v>
      </c>
    </row>
    <row r="29" spans="1:6" ht="13" x14ac:dyDescent="0.3">
      <c r="A29" s="373" t="s">
        <v>623</v>
      </c>
      <c r="B29" s="39" t="s">
        <v>624</v>
      </c>
      <c r="C29" s="370"/>
      <c r="D29" s="370"/>
      <c r="E29" s="370"/>
      <c r="F29" s="420" t="e">
        <f>IF(F24&gt;F28,F24,F28)</f>
        <v>#DIV/0!</v>
      </c>
    </row>
    <row r="30" spans="1:6" ht="13" x14ac:dyDescent="0.3">
      <c r="A30" s="373" t="s">
        <v>625</v>
      </c>
      <c r="B30" s="370" t="s">
        <v>626</v>
      </c>
      <c r="C30" s="370"/>
      <c r="D30" s="370"/>
    </row>
    <row r="31" spans="1:6" ht="13" x14ac:dyDescent="0.3">
      <c r="A31" s="373" t="s">
        <v>152</v>
      </c>
      <c r="B31" s="39" t="s">
        <v>601</v>
      </c>
      <c r="C31" s="370"/>
      <c r="D31" s="347">
        <f>F19</f>
        <v>0</v>
      </c>
    </row>
    <row r="32" spans="1:6" ht="13" x14ac:dyDescent="0.3">
      <c r="A32" s="373" t="s">
        <v>89</v>
      </c>
      <c r="B32" s="39" t="s">
        <v>627</v>
      </c>
      <c r="C32" s="370"/>
      <c r="D32" s="653"/>
    </row>
    <row r="33" spans="1:6" ht="13" x14ac:dyDescent="0.3">
      <c r="A33" s="373" t="s">
        <v>133</v>
      </c>
      <c r="B33" s="39" t="s">
        <v>628</v>
      </c>
      <c r="C33" s="370"/>
      <c r="D33" s="347">
        <f>D31-D32</f>
        <v>0</v>
      </c>
    </row>
    <row r="34" spans="1:6" ht="13" x14ac:dyDescent="0.3">
      <c r="A34" s="373" t="s">
        <v>170</v>
      </c>
      <c r="B34" s="39" t="s">
        <v>629</v>
      </c>
      <c r="C34" s="370"/>
      <c r="D34" s="653"/>
    </row>
    <row r="35" spans="1:6" ht="13" x14ac:dyDescent="0.3">
      <c r="A35" s="373" t="s">
        <v>190</v>
      </c>
      <c r="B35" s="39" t="s">
        <v>630</v>
      </c>
      <c r="C35" s="370"/>
      <c r="D35" s="653"/>
    </row>
    <row r="36" spans="1:6" ht="13" x14ac:dyDescent="0.3">
      <c r="A36" s="373" t="s">
        <v>193</v>
      </c>
      <c r="B36" s="39" t="s">
        <v>631</v>
      </c>
      <c r="C36" s="370"/>
      <c r="D36" s="347">
        <f>D33-D34-D35</f>
        <v>0</v>
      </c>
    </row>
    <row r="37" spans="1:6" ht="13" x14ac:dyDescent="0.3">
      <c r="A37" s="373" t="s">
        <v>208</v>
      </c>
      <c r="B37" s="39" t="s">
        <v>632</v>
      </c>
      <c r="C37" s="370"/>
      <c r="D37" s="653"/>
    </row>
    <row r="38" spans="1:6" ht="13" x14ac:dyDescent="0.3">
      <c r="A38" s="373" t="s">
        <v>210</v>
      </c>
      <c r="B38" s="39" t="s">
        <v>633</v>
      </c>
      <c r="C38" s="370"/>
      <c r="D38" s="370"/>
      <c r="E38" s="370"/>
      <c r="F38" s="347">
        <f>D36-D37</f>
        <v>0</v>
      </c>
    </row>
    <row r="39" spans="1:6" ht="13" x14ac:dyDescent="0.3">
      <c r="A39" s="373" t="s">
        <v>634</v>
      </c>
      <c r="B39" s="370" t="s">
        <v>635</v>
      </c>
      <c r="C39" s="370"/>
      <c r="D39" s="370"/>
    </row>
    <row r="40" spans="1:6" ht="13" x14ac:dyDescent="0.3">
      <c r="A40" s="373" t="s">
        <v>152</v>
      </c>
      <c r="B40" s="39" t="s">
        <v>611</v>
      </c>
      <c r="C40" s="370"/>
      <c r="D40" s="347">
        <f>F20</f>
        <v>0</v>
      </c>
    </row>
    <row r="41" spans="1:6" ht="13" x14ac:dyDescent="0.3">
      <c r="A41" s="373" t="s">
        <v>89</v>
      </c>
      <c r="B41" s="39" t="s">
        <v>636</v>
      </c>
      <c r="C41" s="370"/>
      <c r="D41" s="653"/>
    </row>
    <row r="42" spans="1:6" ht="13" x14ac:dyDescent="0.3">
      <c r="A42" s="373" t="s">
        <v>133</v>
      </c>
      <c r="B42" s="39" t="s">
        <v>637</v>
      </c>
      <c r="C42" s="370"/>
      <c r="D42" s="347">
        <f>D40-D41</f>
        <v>0</v>
      </c>
    </row>
    <row r="43" spans="1:6" ht="13" x14ac:dyDescent="0.3">
      <c r="A43" s="373" t="s">
        <v>170</v>
      </c>
      <c r="B43" s="39" t="s">
        <v>638</v>
      </c>
      <c r="C43" s="370"/>
      <c r="D43" s="653"/>
    </row>
    <row r="44" spans="1:6" ht="13" x14ac:dyDescent="0.3">
      <c r="A44" s="373" t="s">
        <v>190</v>
      </c>
      <c r="B44" s="39" t="s">
        <v>639</v>
      </c>
      <c r="C44" s="370"/>
      <c r="D44" s="370"/>
      <c r="E44" s="370"/>
      <c r="F44" s="347">
        <f>D42-D43</f>
        <v>0</v>
      </c>
    </row>
    <row r="45" spans="1:6" ht="13" x14ac:dyDescent="0.3">
      <c r="A45" s="373" t="s">
        <v>640</v>
      </c>
      <c r="B45" s="370" t="s">
        <v>641</v>
      </c>
      <c r="C45" s="370"/>
      <c r="D45" s="370"/>
    </row>
    <row r="46" spans="1:6" ht="13" x14ac:dyDescent="0.3">
      <c r="A46" s="373" t="s">
        <v>152</v>
      </c>
      <c r="B46" s="39" t="s">
        <v>612</v>
      </c>
      <c r="C46" s="370"/>
      <c r="D46" s="347">
        <f>F21</f>
        <v>0</v>
      </c>
    </row>
    <row r="47" spans="1:6" ht="13" x14ac:dyDescent="0.3">
      <c r="A47" s="373" t="s">
        <v>89</v>
      </c>
      <c r="B47" s="39" t="s">
        <v>642</v>
      </c>
      <c r="C47" s="39"/>
      <c r="D47" s="653"/>
    </row>
    <row r="48" spans="1:6" ht="13" x14ac:dyDescent="0.3">
      <c r="A48" s="373" t="s">
        <v>133</v>
      </c>
      <c r="B48" s="39" t="s">
        <v>643</v>
      </c>
      <c r="C48" s="39"/>
      <c r="D48" s="347">
        <f>D46-D47</f>
        <v>0</v>
      </c>
    </row>
    <row r="49" spans="1:6" ht="13" x14ac:dyDescent="0.3">
      <c r="A49" s="373" t="s">
        <v>170</v>
      </c>
      <c r="B49" s="39" t="s">
        <v>644</v>
      </c>
      <c r="C49" s="39"/>
      <c r="D49" s="653"/>
    </row>
    <row r="50" spans="1:6" ht="13" x14ac:dyDescent="0.3">
      <c r="A50" s="373" t="s">
        <v>190</v>
      </c>
      <c r="B50" s="39" t="s">
        <v>645</v>
      </c>
      <c r="C50" s="39"/>
      <c r="D50" s="39"/>
      <c r="E50" s="39"/>
      <c r="F50" s="347">
        <f>D48-D49</f>
        <v>0</v>
      </c>
    </row>
    <row r="51" spans="1:6" ht="13" x14ac:dyDescent="0.3">
      <c r="A51" s="373" t="s">
        <v>646</v>
      </c>
      <c r="B51" s="370" t="s">
        <v>647</v>
      </c>
      <c r="C51" s="39"/>
      <c r="D51" s="370"/>
    </row>
    <row r="52" spans="1:6" ht="13" x14ac:dyDescent="0.3">
      <c r="A52" s="373" t="s">
        <v>152</v>
      </c>
      <c r="B52" s="39" t="s">
        <v>648</v>
      </c>
      <c r="C52" s="39"/>
      <c r="D52" s="347" t="e">
        <f>IF(F28-F24&gt;0,F28-F24,0)</f>
        <v>#DIV/0!</v>
      </c>
    </row>
    <row r="53" spans="1:6" ht="13" x14ac:dyDescent="0.3">
      <c r="A53" s="373" t="s">
        <v>89</v>
      </c>
      <c r="B53" s="39" t="s">
        <v>649</v>
      </c>
      <c r="C53" s="39"/>
      <c r="D53" s="653"/>
    </row>
    <row r="54" spans="1:6" ht="13" x14ac:dyDescent="0.3">
      <c r="A54" s="373" t="s">
        <v>133</v>
      </c>
      <c r="B54" s="39" t="s">
        <v>650</v>
      </c>
      <c r="C54" s="39"/>
      <c r="D54" s="347" t="e">
        <f>D52-D53</f>
        <v>#DIV/0!</v>
      </c>
    </row>
    <row r="55" spans="1:6" ht="13" x14ac:dyDescent="0.3">
      <c r="A55" s="373" t="s">
        <v>170</v>
      </c>
      <c r="B55" s="39" t="s">
        <v>651</v>
      </c>
      <c r="C55" s="39"/>
      <c r="D55" s="653"/>
    </row>
    <row r="56" spans="1:6" ht="13" x14ac:dyDescent="0.3">
      <c r="A56" s="373" t="s">
        <v>190</v>
      </c>
      <c r="B56" s="39" t="s">
        <v>652</v>
      </c>
      <c r="C56" s="39"/>
      <c r="D56" s="39"/>
      <c r="E56" s="39"/>
      <c r="F56" s="347" t="e">
        <f>D54-D55</f>
        <v>#DIV/0!</v>
      </c>
    </row>
    <row r="57" spans="1:6" ht="13" x14ac:dyDescent="0.3">
      <c r="A57" s="373" t="s">
        <v>653</v>
      </c>
      <c r="B57" s="370" t="s">
        <v>654</v>
      </c>
      <c r="C57" s="39"/>
      <c r="D57" s="39"/>
      <c r="E57" s="39"/>
      <c r="F57" s="347" t="e">
        <f>F38+F44+F50+F56</f>
        <v>#DIV/0!</v>
      </c>
    </row>
    <row r="58" spans="1:6" ht="13" x14ac:dyDescent="0.3">
      <c r="A58" s="373" t="s">
        <v>655</v>
      </c>
      <c r="B58" s="370" t="s">
        <v>656</v>
      </c>
      <c r="C58" s="39"/>
      <c r="D58" s="39"/>
    </row>
    <row r="59" spans="1:6" ht="13" x14ac:dyDescent="0.3">
      <c r="A59" s="373" t="s">
        <v>152</v>
      </c>
      <c r="B59" s="39" t="s">
        <v>657</v>
      </c>
      <c r="C59" s="39"/>
      <c r="D59" s="653"/>
    </row>
    <row r="60" spans="1:6" ht="13" x14ac:dyDescent="0.3">
      <c r="A60" s="373" t="s">
        <v>89</v>
      </c>
      <c r="B60" s="39" t="s">
        <v>658</v>
      </c>
      <c r="C60" s="39"/>
      <c r="D60" s="653"/>
    </row>
    <row r="61" spans="1:6" ht="13" x14ac:dyDescent="0.3">
      <c r="A61" s="373" t="s">
        <v>133</v>
      </c>
      <c r="B61" s="39" t="s">
        <v>659</v>
      </c>
      <c r="C61" s="39"/>
      <c r="D61" s="347">
        <f>D59-D60</f>
        <v>0</v>
      </c>
    </row>
    <row r="62" spans="1:6" ht="13" x14ac:dyDescent="0.3">
      <c r="A62" s="373" t="s">
        <v>170</v>
      </c>
      <c r="B62" s="39" t="s">
        <v>660</v>
      </c>
      <c r="C62" s="39"/>
      <c r="D62" s="653"/>
    </row>
    <row r="63" spans="1:6" ht="13" x14ac:dyDescent="0.3">
      <c r="A63" s="373" t="s">
        <v>190</v>
      </c>
      <c r="B63" s="39" t="s">
        <v>661</v>
      </c>
      <c r="C63" s="39"/>
      <c r="D63" s="39"/>
      <c r="F63" s="347">
        <f>D61-D62</f>
        <v>0</v>
      </c>
    </row>
    <row r="64" spans="1:6" ht="13" x14ac:dyDescent="0.3">
      <c r="A64" s="373" t="s">
        <v>662</v>
      </c>
      <c r="B64" s="370" t="s">
        <v>663</v>
      </c>
      <c r="C64" s="39"/>
      <c r="D64" s="39"/>
    </row>
    <row r="65" spans="1:6" ht="13" x14ac:dyDescent="0.3">
      <c r="A65" s="373" t="s">
        <v>152</v>
      </c>
      <c r="B65" s="39" t="s">
        <v>664</v>
      </c>
      <c r="C65" s="39"/>
      <c r="D65" s="347">
        <f>F23-D59</f>
        <v>0</v>
      </c>
    </row>
    <row r="66" spans="1:6" ht="13" x14ac:dyDescent="0.3">
      <c r="A66" s="373" t="s">
        <v>89</v>
      </c>
      <c r="B66" s="39" t="s">
        <v>665</v>
      </c>
      <c r="C66" s="39"/>
      <c r="D66" s="653"/>
    </row>
    <row r="67" spans="1:6" ht="13" x14ac:dyDescent="0.3">
      <c r="A67" s="373" t="s">
        <v>133</v>
      </c>
      <c r="B67" s="39" t="s">
        <v>666</v>
      </c>
      <c r="C67" s="39"/>
      <c r="D67" s="347">
        <f>D65-D66</f>
        <v>0</v>
      </c>
    </row>
    <row r="68" spans="1:6" ht="13" x14ac:dyDescent="0.3">
      <c r="A68" s="373" t="s">
        <v>170</v>
      </c>
      <c r="B68" s="39" t="s">
        <v>667</v>
      </c>
      <c r="C68" s="39"/>
      <c r="D68" s="653"/>
    </row>
    <row r="69" spans="1:6" ht="13" x14ac:dyDescent="0.3">
      <c r="A69" s="373" t="s">
        <v>190</v>
      </c>
      <c r="B69" s="39" t="s">
        <v>668</v>
      </c>
      <c r="C69" s="39"/>
      <c r="D69" s="39"/>
      <c r="F69" s="347">
        <f>D67-D68</f>
        <v>0</v>
      </c>
    </row>
    <row r="70" spans="1:6" ht="13" x14ac:dyDescent="0.3">
      <c r="A70" s="373" t="s">
        <v>669</v>
      </c>
      <c r="B70" s="39" t="s">
        <v>586</v>
      </c>
      <c r="C70" s="39"/>
      <c r="D70" s="39"/>
      <c r="E70" s="39"/>
      <c r="F70" s="653"/>
    </row>
    <row r="71" spans="1:6" ht="13" x14ac:dyDescent="0.3">
      <c r="A71" s="373" t="s">
        <v>670</v>
      </c>
      <c r="B71" s="39" t="s">
        <v>671</v>
      </c>
      <c r="C71" s="39"/>
      <c r="D71" s="39"/>
      <c r="E71" s="39"/>
      <c r="F71" s="653"/>
    </row>
    <row r="72" spans="1:6" ht="13" x14ac:dyDescent="0.3">
      <c r="A72" s="373" t="s">
        <v>672</v>
      </c>
      <c r="B72" s="39" t="s">
        <v>673</v>
      </c>
      <c r="C72" s="39"/>
      <c r="D72" s="39"/>
      <c r="E72" s="39"/>
      <c r="F72" s="653"/>
    </row>
    <row r="73" spans="1:6" ht="13" x14ac:dyDescent="0.3">
      <c r="A73" s="373" t="s">
        <v>674</v>
      </c>
      <c r="B73" s="39" t="s">
        <v>675</v>
      </c>
      <c r="C73" s="39"/>
      <c r="D73" s="39"/>
      <c r="E73" s="39"/>
      <c r="F73" s="347" t="e">
        <f>F57+F63+F69+SUM(F70:F72)</f>
        <v>#DIV/0!</v>
      </c>
    </row>
    <row r="74" spans="1:6" ht="13" x14ac:dyDescent="0.3">
      <c r="A74" s="373" t="s">
        <v>676</v>
      </c>
      <c r="B74" s="39" t="s">
        <v>677</v>
      </c>
      <c r="C74" s="39"/>
      <c r="D74" s="653"/>
    </row>
    <row r="75" spans="1:6" ht="13" x14ac:dyDescent="0.3">
      <c r="A75" s="373" t="s">
        <v>678</v>
      </c>
      <c r="B75" s="39" t="s">
        <v>679</v>
      </c>
      <c r="C75" s="39"/>
      <c r="D75" s="653"/>
    </row>
    <row r="76" spans="1:6" ht="13" x14ac:dyDescent="0.3">
      <c r="A76" s="373" t="s">
        <v>680</v>
      </c>
      <c r="B76" s="39" t="s">
        <v>681</v>
      </c>
      <c r="C76" s="39"/>
      <c r="D76" s="39"/>
      <c r="E76" s="39"/>
      <c r="F76" s="347" t="e">
        <f>F73-D74-D75</f>
        <v>#DIV/0!</v>
      </c>
    </row>
    <row r="77" spans="1:6" ht="13" x14ac:dyDescent="0.3">
      <c r="A77" s="373" t="s">
        <v>682</v>
      </c>
      <c r="B77" s="39" t="s">
        <v>683</v>
      </c>
      <c r="C77" s="39"/>
      <c r="D77" s="39"/>
    </row>
    <row r="78" spans="1:6" ht="13" x14ac:dyDescent="0.3">
      <c r="A78" s="373" t="s">
        <v>152</v>
      </c>
      <c r="B78" s="39" t="s">
        <v>364</v>
      </c>
      <c r="C78" s="437"/>
      <c r="D78" s="347">
        <f>'Sch - H'!I26</f>
        <v>0</v>
      </c>
    </row>
    <row r="79" spans="1:6" ht="13" x14ac:dyDescent="0.3">
      <c r="A79" s="373" t="s">
        <v>89</v>
      </c>
      <c r="B79" s="39" t="s">
        <v>684</v>
      </c>
      <c r="C79" s="437"/>
      <c r="D79" s="347">
        <f>ABS('Schedule I &amp; I-1'!D44)</f>
        <v>0</v>
      </c>
    </row>
    <row r="80" spans="1:6" ht="13" x14ac:dyDescent="0.3">
      <c r="A80" s="373" t="s">
        <v>133</v>
      </c>
      <c r="B80" s="39" t="s">
        <v>685</v>
      </c>
      <c r="C80" s="39"/>
      <c r="D80" s="347">
        <f>D78+D79</f>
        <v>0</v>
      </c>
    </row>
    <row r="81" spans="1:9" ht="13" x14ac:dyDescent="0.3">
      <c r="A81" s="373" t="s">
        <v>686</v>
      </c>
      <c r="B81" s="39" t="s">
        <v>687</v>
      </c>
      <c r="C81" s="39"/>
      <c r="D81" s="39"/>
      <c r="E81" s="39"/>
      <c r="F81" s="347" t="e">
        <f>IF(F76&gt;D80,D80,F76)</f>
        <v>#DIV/0!</v>
      </c>
    </row>
    <row r="82" spans="1:9" ht="13" x14ac:dyDescent="0.3">
      <c r="A82" s="373" t="s">
        <v>688</v>
      </c>
      <c r="B82" s="39" t="s">
        <v>689</v>
      </c>
      <c r="C82" s="437"/>
      <c r="D82" s="347" t="e">
        <f>F81*'Shareholding Details'!N16</f>
        <v>#DIV/0!</v>
      </c>
    </row>
    <row r="83" spans="1:9" ht="13" x14ac:dyDescent="0.3">
      <c r="A83" s="373" t="s">
        <v>690</v>
      </c>
      <c r="B83" s="39" t="s">
        <v>691</v>
      </c>
      <c r="C83" s="39"/>
      <c r="D83" s="653"/>
    </row>
    <row r="84" spans="1:9" ht="13" x14ac:dyDescent="0.3">
      <c r="A84" s="373" t="s">
        <v>692</v>
      </c>
      <c r="B84" s="39" t="s">
        <v>693</v>
      </c>
      <c r="C84" s="39"/>
      <c r="D84" s="347" t="e">
        <f>D82-D83</f>
        <v>#DIV/0!</v>
      </c>
    </row>
    <row r="85" spans="1:9" ht="13" x14ac:dyDescent="0.3">
      <c r="A85" s="373" t="s">
        <v>694</v>
      </c>
      <c r="B85" s="39" t="s">
        <v>695</v>
      </c>
      <c r="C85" s="39"/>
      <c r="D85" s="347">
        <v>1</v>
      </c>
      <c r="I85" s="30"/>
    </row>
    <row r="86" spans="1:9" ht="13" x14ac:dyDescent="0.3">
      <c r="A86" s="373" t="s">
        <v>696</v>
      </c>
      <c r="B86" s="39" t="s">
        <v>697</v>
      </c>
      <c r="C86" s="39"/>
      <c r="D86" s="653"/>
      <c r="I86" s="30"/>
    </row>
    <row r="87" spans="1:9" ht="13" x14ac:dyDescent="0.3">
      <c r="A87" s="373" t="s">
        <v>698</v>
      </c>
      <c r="B87" s="39" t="s">
        <v>699</v>
      </c>
      <c r="C87" s="39"/>
      <c r="D87" s="347">
        <v>1</v>
      </c>
    </row>
    <row r="88" spans="1:9" ht="13" x14ac:dyDescent="0.3">
      <c r="A88" s="373" t="s">
        <v>700</v>
      </c>
      <c r="B88" s="39" t="s">
        <v>701</v>
      </c>
      <c r="C88" s="39"/>
      <c r="D88" s="347">
        <f>IF(D86&gt;D87,D87,D86)</f>
        <v>0</v>
      </c>
    </row>
    <row r="89" spans="1:9" ht="13" x14ac:dyDescent="0.3">
      <c r="A89" s="373" t="s">
        <v>702</v>
      </c>
      <c r="B89" s="370" t="s">
        <v>703</v>
      </c>
      <c r="C89" s="39"/>
      <c r="D89" s="39"/>
      <c r="E89" s="39"/>
      <c r="F89" s="347">
        <f>D85-D88</f>
        <v>1</v>
      </c>
    </row>
    <row r="90" spans="1:9" ht="13" x14ac:dyDescent="0.3">
      <c r="A90" s="373" t="s">
        <v>89</v>
      </c>
      <c r="B90" s="370" t="s">
        <v>704</v>
      </c>
      <c r="C90" s="39"/>
      <c r="D90" s="39"/>
      <c r="E90" s="39"/>
      <c r="F90" s="347">
        <f>F89*'Income Statement'!L5</f>
        <v>0</v>
      </c>
      <c r="G90" s="21"/>
    </row>
  </sheetData>
  <mergeCells count="5">
    <mergeCell ref="A1:D1"/>
    <mergeCell ref="A2:D2"/>
    <mergeCell ref="A3:D3"/>
    <mergeCell ref="A4:D4"/>
    <mergeCell ref="A7:C7"/>
  </mergeCells>
  <pageMargins left="0.7" right="0.7" top="0.75" bottom="0.75" header="0.3" footer="0.3"/>
  <pageSetup paperSize="9" orientation="portrait" verticalDpi="300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3" tint="-0.249977111117893"/>
  </sheetPr>
  <dimension ref="A1:G33"/>
  <sheetViews>
    <sheetView workbookViewId="0">
      <selection sqref="A1:D1"/>
    </sheetView>
  </sheetViews>
  <sheetFormatPr defaultColWidth="9.1796875" defaultRowHeight="12.5" x14ac:dyDescent="0.25"/>
  <cols>
    <col min="1" max="1" width="3.7265625" style="18" customWidth="1"/>
    <col min="2" max="2" width="66.7265625" style="18" bestFit="1" customWidth="1"/>
    <col min="3" max="3" width="6.1796875" style="18" customWidth="1"/>
    <col min="4" max="4" width="13.81640625" style="18" customWidth="1"/>
    <col min="5" max="5" width="4.54296875" style="18" customWidth="1"/>
    <col min="6" max="6" width="14" style="18" customWidth="1"/>
    <col min="7" max="8" width="9.1796875" style="18"/>
    <col min="9" max="9" width="10.1796875" style="18" bestFit="1" customWidth="1"/>
    <col min="10" max="16384" width="9.1796875" style="18"/>
  </cols>
  <sheetData>
    <row r="1" spans="1:6" ht="13" x14ac:dyDescent="0.3">
      <c r="A1" s="717">
        <f>'Basic Information'!B4</f>
        <v>0</v>
      </c>
      <c r="B1" s="718"/>
      <c r="C1" s="718"/>
      <c r="D1" s="719"/>
    </row>
    <row r="2" spans="1:6" x14ac:dyDescent="0.25">
      <c r="A2" s="720" t="s">
        <v>705</v>
      </c>
      <c r="B2" s="721"/>
      <c r="C2" s="721"/>
      <c r="D2" s="722"/>
    </row>
    <row r="3" spans="1:6" x14ac:dyDescent="0.25">
      <c r="A3" s="723" t="str">
        <f>'Basic Information'!B1</f>
        <v>12/31/24</v>
      </c>
      <c r="B3" s="721"/>
      <c r="C3" s="721"/>
      <c r="D3" s="722"/>
    </row>
    <row r="4" spans="1:6" x14ac:dyDescent="0.25">
      <c r="A4" s="724" t="s">
        <v>312</v>
      </c>
      <c r="B4" s="725"/>
      <c r="C4" s="725"/>
      <c r="D4" s="726"/>
    </row>
    <row r="5" spans="1:6" ht="13.5" thickBot="1" x14ac:dyDescent="0.35">
      <c r="A5" s="552"/>
      <c r="B5" s="553"/>
      <c r="C5" s="553"/>
      <c r="D5" s="554"/>
    </row>
    <row r="6" spans="1:6" ht="13.5" thickBot="1" x14ac:dyDescent="0.35">
      <c r="A6" s="365"/>
      <c r="B6" s="166"/>
      <c r="C6" s="166"/>
      <c r="D6" s="366"/>
    </row>
    <row r="7" spans="1:6" ht="13.5" thickBot="1" x14ac:dyDescent="0.35">
      <c r="A7" s="667" t="s">
        <v>706</v>
      </c>
      <c r="B7" s="668"/>
      <c r="C7" s="669"/>
      <c r="D7" s="421"/>
    </row>
    <row r="8" spans="1:6" ht="13" x14ac:dyDescent="0.3">
      <c r="A8" s="365"/>
      <c r="B8" s="166"/>
      <c r="C8" s="376" t="s">
        <v>43</v>
      </c>
      <c r="D8" s="39"/>
      <c r="E8" s="273" t="s">
        <v>43</v>
      </c>
    </row>
    <row r="9" spans="1:6" ht="13" x14ac:dyDescent="0.3">
      <c r="A9" s="373" t="s">
        <v>50</v>
      </c>
      <c r="B9" s="87" t="s">
        <v>707</v>
      </c>
      <c r="C9" s="370"/>
      <c r="D9" s="65"/>
    </row>
    <row r="10" spans="1:6" ht="13" x14ac:dyDescent="0.3">
      <c r="A10" s="373" t="s">
        <v>152</v>
      </c>
      <c r="B10" s="68" t="s">
        <v>708</v>
      </c>
      <c r="C10" s="370"/>
      <c r="D10" s="653"/>
    </row>
    <row r="11" spans="1:6" ht="13" x14ac:dyDescent="0.3">
      <c r="A11" s="373" t="s">
        <v>89</v>
      </c>
      <c r="B11" s="39" t="s">
        <v>709</v>
      </c>
      <c r="C11" s="39"/>
      <c r="D11" s="653"/>
    </row>
    <row r="12" spans="1:6" ht="13" x14ac:dyDescent="0.3">
      <c r="A12" s="373" t="s">
        <v>133</v>
      </c>
      <c r="B12" s="39" t="s">
        <v>710</v>
      </c>
      <c r="C12" s="370"/>
      <c r="D12" s="653"/>
    </row>
    <row r="13" spans="1:6" ht="13" x14ac:dyDescent="0.3">
      <c r="A13" s="373" t="s">
        <v>170</v>
      </c>
      <c r="B13" s="39" t="s">
        <v>711</v>
      </c>
      <c r="C13" s="370"/>
      <c r="D13" s="653"/>
    </row>
    <row r="14" spans="1:6" ht="13" x14ac:dyDescent="0.3">
      <c r="A14" s="373" t="s">
        <v>51</v>
      </c>
      <c r="B14" s="39" t="s">
        <v>712</v>
      </c>
      <c r="C14" s="370"/>
      <c r="D14" s="370"/>
      <c r="E14" s="370"/>
      <c r="F14" s="420">
        <f>IF(D10&lt;&gt;0,1)+IF(D11&lt;&gt;0,1)+IF(D12&lt;&gt;0,1)+IF(D13&lt;&gt;0,1)</f>
        <v>0</v>
      </c>
    </row>
    <row r="15" spans="1:6" ht="13" x14ac:dyDescent="0.3">
      <c r="A15" s="373" t="s">
        <v>52</v>
      </c>
      <c r="B15" s="39" t="s">
        <v>713</v>
      </c>
      <c r="C15" s="370"/>
      <c r="D15" s="370"/>
      <c r="E15" s="370"/>
      <c r="F15" s="420">
        <f>IFERROR(SUM(D10:D13)/F14,0)</f>
        <v>0</v>
      </c>
    </row>
    <row r="16" spans="1:6" ht="13" x14ac:dyDescent="0.3">
      <c r="A16" s="373" t="s">
        <v>53</v>
      </c>
      <c r="B16" s="39" t="s">
        <v>714</v>
      </c>
      <c r="C16" s="370"/>
      <c r="D16" s="370"/>
      <c r="E16" s="370"/>
      <c r="F16" s="420">
        <f>F15*'Shareholding Details'!N16</f>
        <v>0</v>
      </c>
    </row>
    <row r="17" spans="1:6" ht="13" x14ac:dyDescent="0.3">
      <c r="A17" s="373" t="s">
        <v>54</v>
      </c>
      <c r="B17" s="39" t="s">
        <v>715</v>
      </c>
      <c r="C17" s="370"/>
      <c r="D17" s="370"/>
      <c r="E17" s="370"/>
      <c r="F17" s="653"/>
    </row>
    <row r="18" spans="1:6" ht="13" x14ac:dyDescent="0.3">
      <c r="A18" s="373" t="s">
        <v>55</v>
      </c>
      <c r="B18" s="370" t="s">
        <v>716</v>
      </c>
      <c r="C18" s="370"/>
      <c r="D18" s="370"/>
      <c r="E18" s="370"/>
      <c r="F18" s="420">
        <f>F16-F17</f>
        <v>0</v>
      </c>
    </row>
    <row r="19" spans="1:6" ht="13" x14ac:dyDescent="0.3">
      <c r="A19" s="373" t="s">
        <v>56</v>
      </c>
      <c r="B19" s="39" t="s">
        <v>717</v>
      </c>
      <c r="C19" s="370"/>
      <c r="D19" s="370"/>
      <c r="E19" s="370"/>
      <c r="F19" s="420">
        <f>F17+F18</f>
        <v>0</v>
      </c>
    </row>
    <row r="20" spans="1:6" ht="13" x14ac:dyDescent="0.3">
      <c r="A20" s="373" t="s">
        <v>152</v>
      </c>
      <c r="B20" s="39" t="s">
        <v>718</v>
      </c>
      <c r="C20" s="437"/>
      <c r="D20" s="420">
        <f>'Sch - H'!I26</f>
        <v>0</v>
      </c>
      <c r="E20" s="370"/>
    </row>
    <row r="21" spans="1:6" ht="13" x14ac:dyDescent="0.3">
      <c r="A21" s="373" t="s">
        <v>89</v>
      </c>
      <c r="B21" s="39" t="s">
        <v>719</v>
      </c>
      <c r="C21" s="437"/>
      <c r="D21" s="420">
        <f>'Schedule J'!AH41</f>
        <v>0</v>
      </c>
      <c r="E21" s="370"/>
    </row>
    <row r="22" spans="1:6" ht="13" x14ac:dyDescent="0.3">
      <c r="A22" s="373" t="s">
        <v>57</v>
      </c>
      <c r="B22" s="39" t="s">
        <v>720</v>
      </c>
      <c r="C22" s="370"/>
      <c r="D22" s="370"/>
      <c r="E22" s="370"/>
      <c r="F22" s="420">
        <f>IF(D20&gt;D21,D20,D21)</f>
        <v>0</v>
      </c>
    </row>
    <row r="23" spans="1:6" ht="13" x14ac:dyDescent="0.3">
      <c r="A23" s="373" t="s">
        <v>617</v>
      </c>
      <c r="B23" s="39" t="s">
        <v>721</v>
      </c>
      <c r="C23" s="370"/>
      <c r="D23" s="370"/>
      <c r="E23" s="437"/>
      <c r="F23" s="420">
        <f>Dividends!C12</f>
        <v>0</v>
      </c>
    </row>
    <row r="24" spans="1:6" ht="13" x14ac:dyDescent="0.3">
      <c r="A24" s="373" t="s">
        <v>619</v>
      </c>
      <c r="B24" s="39" t="s">
        <v>722</v>
      </c>
      <c r="C24" s="370"/>
      <c r="D24" s="370"/>
      <c r="E24" s="370"/>
      <c r="F24" s="420">
        <f>F22-F23</f>
        <v>0</v>
      </c>
    </row>
    <row r="25" spans="1:6" ht="13" x14ac:dyDescent="0.3">
      <c r="A25" s="373" t="s">
        <v>621</v>
      </c>
      <c r="B25" s="39" t="s">
        <v>723</v>
      </c>
      <c r="C25" s="370"/>
      <c r="D25" s="370"/>
      <c r="E25" s="370"/>
      <c r="F25" s="653"/>
    </row>
    <row r="26" spans="1:6" ht="13" x14ac:dyDescent="0.3">
      <c r="A26" s="373" t="s">
        <v>623</v>
      </c>
      <c r="B26" s="431" t="s">
        <v>717</v>
      </c>
      <c r="C26" s="370"/>
      <c r="D26" s="370"/>
      <c r="E26" s="370"/>
      <c r="F26" s="420">
        <f>F24-F25</f>
        <v>0</v>
      </c>
    </row>
    <row r="27" spans="1:6" ht="13" x14ac:dyDescent="0.3">
      <c r="A27" s="373" t="s">
        <v>625</v>
      </c>
      <c r="B27" s="370" t="s">
        <v>724</v>
      </c>
      <c r="C27" s="370"/>
      <c r="D27" s="370"/>
      <c r="F27" s="420">
        <f>F26*'Shareholding Details'!N16</f>
        <v>0</v>
      </c>
    </row>
    <row r="28" spans="1:6" ht="13" x14ac:dyDescent="0.3">
      <c r="A28" s="373" t="s">
        <v>634</v>
      </c>
      <c r="B28" s="370" t="s">
        <v>725</v>
      </c>
      <c r="C28" s="370"/>
      <c r="D28" s="370"/>
      <c r="F28" s="420">
        <f>IF(F18&lt;F27,F18,F27)</f>
        <v>0</v>
      </c>
    </row>
    <row r="29" spans="1:6" ht="13" x14ac:dyDescent="0.3">
      <c r="A29" s="373" t="s">
        <v>640</v>
      </c>
      <c r="B29" s="39" t="s">
        <v>726</v>
      </c>
      <c r="C29" s="370"/>
      <c r="D29" s="370"/>
      <c r="F29" s="653"/>
    </row>
    <row r="30" spans="1:6" ht="13" x14ac:dyDescent="0.3">
      <c r="A30" s="373" t="s">
        <v>646</v>
      </c>
      <c r="B30" s="39" t="s">
        <v>727</v>
      </c>
      <c r="C30" s="370"/>
      <c r="D30" s="370"/>
      <c r="F30" s="347">
        <f>F28-F29</f>
        <v>0</v>
      </c>
    </row>
    <row r="31" spans="1:6" ht="26" x14ac:dyDescent="0.3">
      <c r="A31" s="373" t="s">
        <v>653</v>
      </c>
      <c r="B31" s="68" t="s">
        <v>728</v>
      </c>
      <c r="C31" s="370"/>
      <c r="D31" s="370"/>
      <c r="F31" s="653"/>
    </row>
    <row r="32" spans="1:6" ht="13" x14ac:dyDescent="0.3">
      <c r="A32" s="373" t="s">
        <v>655</v>
      </c>
      <c r="B32" s="370" t="s">
        <v>729</v>
      </c>
      <c r="C32" s="39"/>
      <c r="D32" s="370"/>
      <c r="F32" s="420">
        <f>F30-F31</f>
        <v>0</v>
      </c>
    </row>
    <row r="33" spans="1:7" ht="13" x14ac:dyDescent="0.3">
      <c r="A33" s="373" t="s">
        <v>662</v>
      </c>
      <c r="B33" s="370" t="s">
        <v>730</v>
      </c>
      <c r="C33" s="39"/>
      <c r="D33" s="39"/>
      <c r="E33" s="39"/>
      <c r="F33" s="347">
        <f>F32*'Balance Sheet'!H6</f>
        <v>0</v>
      </c>
      <c r="G33" s="21"/>
    </row>
  </sheetData>
  <mergeCells count="5">
    <mergeCell ref="A1:D1"/>
    <mergeCell ref="A2:D2"/>
    <mergeCell ref="A3:D3"/>
    <mergeCell ref="A4:D4"/>
    <mergeCell ref="A7:C7"/>
  </mergeCells>
  <pageMargins left="0.7" right="0.7" top="0.75" bottom="0.75" header="0.3" footer="0.3"/>
  <pageSetup paperSize="9" orientation="portrait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>
    <tabColor theme="2" tint="-0.749992370372631"/>
    <pageSetUpPr fitToPage="1"/>
  </sheetPr>
  <dimension ref="A1:F36"/>
  <sheetViews>
    <sheetView zoomScale="130" zoomScaleNormal="130" workbookViewId="0">
      <selection activeCell="B9" sqref="B9"/>
    </sheetView>
  </sheetViews>
  <sheetFormatPr defaultColWidth="9.7265625" defaultRowHeight="12.5" x14ac:dyDescent="0.25"/>
  <cols>
    <col min="1" max="1" width="3.7265625" style="15" customWidth="1"/>
    <col min="2" max="2" width="65.453125" style="15" customWidth="1"/>
    <col min="3" max="3" width="7.1796875" style="15" customWidth="1"/>
    <col min="4" max="4" width="13.453125" style="15" customWidth="1"/>
    <col min="5" max="5" width="6.453125" style="15" customWidth="1"/>
    <col min="6" max="6" width="13.26953125" style="15" customWidth="1"/>
    <col min="7" max="7" width="5" style="15" customWidth="1"/>
    <col min="8" max="8" width="13.1796875" style="15" customWidth="1"/>
    <col min="9" max="16384" width="9.7265625" style="15"/>
  </cols>
  <sheetData>
    <row r="1" spans="1:6" customFormat="1" ht="13" x14ac:dyDescent="0.3">
      <c r="A1" s="731">
        <f>'Basic Information'!B4</f>
        <v>0</v>
      </c>
      <c r="B1" s="732"/>
      <c r="C1" s="732"/>
      <c r="D1" s="732"/>
      <c r="E1" s="732"/>
      <c r="F1" s="733"/>
    </row>
    <row r="2" spans="1:6" customFormat="1" x14ac:dyDescent="0.25">
      <c r="A2" s="734" t="s">
        <v>731</v>
      </c>
      <c r="B2" s="735"/>
      <c r="C2" s="735"/>
      <c r="D2" s="735"/>
      <c r="E2" s="735"/>
      <c r="F2" s="736"/>
    </row>
    <row r="3" spans="1:6" customFormat="1" x14ac:dyDescent="0.25">
      <c r="A3" s="737" t="str">
        <f>'Basic Information'!B1</f>
        <v>12/31/24</v>
      </c>
      <c r="B3" s="735"/>
      <c r="C3" s="735"/>
      <c r="D3" s="735"/>
      <c r="E3" s="735"/>
      <c r="F3" s="736"/>
    </row>
    <row r="4" spans="1:6" customFormat="1" x14ac:dyDescent="0.25">
      <c r="A4" s="738" t="s">
        <v>137</v>
      </c>
      <c r="B4" s="739"/>
      <c r="C4" s="739"/>
      <c r="D4" s="739"/>
      <c r="E4" s="739"/>
      <c r="F4" s="740"/>
    </row>
    <row r="5" spans="1:6" customFormat="1" ht="13.5" thickBot="1" x14ac:dyDescent="0.35">
      <c r="A5" s="579" t="s">
        <v>732</v>
      </c>
      <c r="B5" s="580"/>
      <c r="C5" s="580"/>
      <c r="D5" s="580"/>
      <c r="E5" s="580"/>
      <c r="F5" s="581"/>
    </row>
    <row r="6" spans="1:6" customFormat="1" ht="13.5" thickBot="1" x14ac:dyDescent="0.35">
      <c r="A6" s="365"/>
      <c r="B6" s="166"/>
      <c r="C6" s="166"/>
      <c r="D6" s="366"/>
      <c r="E6" s="367"/>
      <c r="F6" s="366"/>
    </row>
    <row r="7" spans="1:6" customFormat="1" ht="13.5" thickBot="1" x14ac:dyDescent="0.35">
      <c r="A7" s="727" t="s">
        <v>733</v>
      </c>
      <c r="B7" s="728"/>
      <c r="C7" s="729"/>
      <c r="D7" s="447" t="s">
        <v>734</v>
      </c>
      <c r="E7" s="372"/>
      <c r="F7" s="490">
        <f>'Shareholding Details'!N16</f>
        <v>0.6</v>
      </c>
    </row>
    <row r="8" spans="1:6" ht="12.65" customHeight="1" x14ac:dyDescent="0.3">
      <c r="A8" s="365"/>
      <c r="B8" s="166"/>
      <c r="C8" s="194" t="s">
        <v>43</v>
      </c>
      <c r="D8" s="374"/>
      <c r="E8" s="369"/>
    </row>
    <row r="9" spans="1:6" ht="13" x14ac:dyDescent="0.3">
      <c r="A9" s="373" t="s">
        <v>152</v>
      </c>
      <c r="B9" s="68" t="s">
        <v>735</v>
      </c>
      <c r="C9" s="370"/>
      <c r="D9" s="422">
        <f>'Basic Information'!B11:F11</f>
        <v>0</v>
      </c>
    </row>
    <row r="10" spans="1:6" ht="13" x14ac:dyDescent="0.3">
      <c r="A10" s="373" t="s">
        <v>89</v>
      </c>
      <c r="B10" s="39" t="s">
        <v>736</v>
      </c>
      <c r="C10" s="39"/>
      <c r="D10" s="556"/>
    </row>
    <row r="11" spans="1:6" ht="13" x14ac:dyDescent="0.3">
      <c r="A11" s="373" t="s">
        <v>133</v>
      </c>
      <c r="B11" s="39" t="s">
        <v>737</v>
      </c>
      <c r="C11" s="437"/>
      <c r="D11" s="422" t="e">
        <f>IF('Schedule I &amp; I-1'!H44&gt;0,'Schedule I &amp; I-1'!H44,0)</f>
        <v>#DIV/0!</v>
      </c>
    </row>
    <row r="12" spans="1:6" ht="13" x14ac:dyDescent="0.3">
      <c r="A12" s="373" t="s">
        <v>170</v>
      </c>
      <c r="B12" s="39" t="s">
        <v>738</v>
      </c>
      <c r="C12" s="437"/>
      <c r="D12" s="422" t="e">
        <f>IF('Schedule I &amp; I-1'!H44&lt;0,'Schedule I &amp; I-1'!H44,0)</f>
        <v>#DIV/0!</v>
      </c>
    </row>
    <row r="13" spans="1:6" ht="13" x14ac:dyDescent="0.3">
      <c r="A13" s="373" t="s">
        <v>190</v>
      </c>
      <c r="B13" s="39" t="s">
        <v>739</v>
      </c>
      <c r="C13" s="437"/>
      <c r="D13" s="422" t="e">
        <f>ROUND(D11*F7,0)</f>
        <v>#DIV/0!</v>
      </c>
    </row>
    <row r="14" spans="1:6" ht="13" x14ac:dyDescent="0.3">
      <c r="A14" s="373" t="s">
        <v>193</v>
      </c>
      <c r="B14" s="39" t="s">
        <v>740</v>
      </c>
      <c r="C14" s="437"/>
      <c r="D14" s="422" t="e">
        <f>ROUND(D12*F7,0)</f>
        <v>#DIV/0!</v>
      </c>
    </row>
    <row r="15" spans="1:6" ht="13" x14ac:dyDescent="0.3">
      <c r="A15" s="373" t="s">
        <v>208</v>
      </c>
      <c r="B15" s="39" t="s">
        <v>741</v>
      </c>
      <c r="C15" s="437"/>
      <c r="D15" s="422" t="e">
        <f>ROUND('Schedule I &amp; I-1'!H46*F7,0)</f>
        <v>#DIV/0!</v>
      </c>
    </row>
    <row r="16" spans="1:6" ht="13" x14ac:dyDescent="0.3">
      <c r="A16" s="373" t="s">
        <v>210</v>
      </c>
      <c r="B16" s="39" t="s">
        <v>742</v>
      </c>
      <c r="C16" s="437"/>
      <c r="D16" s="422" t="e">
        <f>ROUND('Schedule I &amp; I-1'!H50*F7,0)</f>
        <v>#DIV/0!</v>
      </c>
    </row>
    <row r="17" spans="1:5" ht="13" x14ac:dyDescent="0.3">
      <c r="A17" s="373" t="s">
        <v>419</v>
      </c>
      <c r="B17" s="39" t="s">
        <v>743</v>
      </c>
      <c r="C17" s="437"/>
      <c r="D17" s="422" t="e">
        <f>ROUND('Schedule I &amp; I-1'!H53*F7,0)</f>
        <v>#DIV/0!</v>
      </c>
    </row>
    <row r="18" spans="1:5" ht="13.5" thickBot="1" x14ac:dyDescent="0.35">
      <c r="A18" s="368"/>
      <c r="B18" s="42"/>
      <c r="C18" s="42"/>
      <c r="D18" s="375"/>
    </row>
    <row r="20" spans="1:5" ht="13" thickBot="1" x14ac:dyDescent="0.3">
      <c r="B20" s="573" t="s">
        <v>744</v>
      </c>
    </row>
    <row r="21" spans="1:5" x14ac:dyDescent="0.25">
      <c r="A21" s="492" t="s">
        <v>214</v>
      </c>
      <c r="B21" s="167" t="s">
        <v>745</v>
      </c>
      <c r="C21" s="167"/>
      <c r="D21" s="589"/>
    </row>
    <row r="22" spans="1:5" ht="13.5" thickBot="1" x14ac:dyDescent="0.35">
      <c r="A22" s="493" t="s">
        <v>215</v>
      </c>
      <c r="B22" s="170" t="s">
        <v>746</v>
      </c>
      <c r="C22" s="170"/>
      <c r="D22" s="590"/>
      <c r="E22" s="494" t="s">
        <v>747</v>
      </c>
    </row>
    <row r="24" spans="1:5" x14ac:dyDescent="0.25">
      <c r="A24"/>
      <c r="B24" s="485"/>
      <c r="C24"/>
      <c r="D24"/>
      <c r="E24"/>
    </row>
    <row r="25" spans="1:5" x14ac:dyDescent="0.25">
      <c r="A25"/>
      <c r="B25"/>
      <c r="C25"/>
      <c r="D25"/>
      <c r="E25"/>
    </row>
    <row r="26" spans="1:5" x14ac:dyDescent="0.25">
      <c r="A26"/>
      <c r="B26"/>
      <c r="C26"/>
      <c r="D26"/>
      <c r="E26"/>
    </row>
    <row r="27" spans="1:5" x14ac:dyDescent="0.25">
      <c r="A27"/>
      <c r="B27"/>
      <c r="C27"/>
      <c r="D27"/>
      <c r="E27"/>
    </row>
    <row r="28" spans="1:5" x14ac:dyDescent="0.25">
      <c r="A28"/>
      <c r="B28"/>
      <c r="C28"/>
      <c r="D28"/>
      <c r="E28"/>
    </row>
    <row r="29" spans="1:5" x14ac:dyDescent="0.25">
      <c r="A29"/>
      <c r="B29"/>
      <c r="C29"/>
      <c r="D29"/>
      <c r="E29"/>
    </row>
    <row r="30" spans="1:5" x14ac:dyDescent="0.25">
      <c r="A30"/>
      <c r="B30"/>
      <c r="C30"/>
      <c r="D30"/>
      <c r="E30"/>
    </row>
    <row r="31" spans="1:5" x14ac:dyDescent="0.25">
      <c r="A31"/>
      <c r="B31"/>
      <c r="C31"/>
      <c r="D31"/>
      <c r="E31"/>
    </row>
    <row r="32" spans="1:5" x14ac:dyDescent="0.25">
      <c r="A32"/>
      <c r="B32"/>
      <c r="C32"/>
      <c r="D32"/>
      <c r="E32"/>
    </row>
    <row r="33" spans="1:5" x14ac:dyDescent="0.25">
      <c r="A33"/>
      <c r="B33"/>
      <c r="C33"/>
      <c r="D33"/>
      <c r="E33"/>
    </row>
    <row r="34" spans="1:5" x14ac:dyDescent="0.25">
      <c r="A34"/>
      <c r="B34"/>
      <c r="C34"/>
      <c r="D34"/>
      <c r="E34"/>
    </row>
    <row r="35" spans="1:5" x14ac:dyDescent="0.25">
      <c r="A35"/>
      <c r="B35"/>
      <c r="C35"/>
      <c r="D35"/>
      <c r="E35"/>
    </row>
    <row r="36" spans="1:5" x14ac:dyDescent="0.25">
      <c r="A36"/>
      <c r="B36"/>
      <c r="C36"/>
      <c r="D36"/>
      <c r="E36"/>
    </row>
  </sheetData>
  <mergeCells count="5">
    <mergeCell ref="A1:F1"/>
    <mergeCell ref="A2:F2"/>
    <mergeCell ref="A3:F3"/>
    <mergeCell ref="A4:F4"/>
    <mergeCell ref="A7:C7"/>
  </mergeCell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&amp;C&amp;8&amp;F/&amp;A_x000D_&amp;D_x000D_&amp;T&amp;R&amp;"Arial,Bold"&amp;8Manager:............._x000D_Senior:................_x000D_Staff:..................._x000D__x000D_&amp;12_x000D_D-120HIST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2" tint="-0.749992370372631"/>
    <pageSetUpPr fitToPage="1"/>
  </sheetPr>
  <dimension ref="A1:AA81"/>
  <sheetViews>
    <sheetView workbookViewId="0">
      <selection sqref="A1:K1"/>
    </sheetView>
  </sheetViews>
  <sheetFormatPr defaultColWidth="8.81640625" defaultRowHeight="13" x14ac:dyDescent="0.3"/>
  <cols>
    <col min="1" max="1" width="14.453125" style="44" customWidth="1"/>
    <col min="2" max="5" width="8.81640625" style="44" customWidth="1"/>
    <col min="6" max="6" width="14" style="44" customWidth="1"/>
    <col min="7" max="7" width="9.7265625" style="44" customWidth="1"/>
    <col min="8" max="9" width="8.81640625" style="44" customWidth="1"/>
    <col min="10" max="10" width="10" style="44" customWidth="1"/>
    <col min="11" max="11" width="10.26953125" style="44" customWidth="1"/>
    <col min="12" max="12" width="9.1796875" style="44" bestFit="1" customWidth="1"/>
    <col min="13" max="16" width="8.81640625" style="44"/>
    <col min="17" max="17" width="8.7265625" style="44" customWidth="1"/>
    <col min="18" max="16384" width="8.81640625" style="44"/>
  </cols>
  <sheetData>
    <row r="1" spans="1:18" x14ac:dyDescent="0.3">
      <c r="A1" s="731">
        <f>'Basic Information'!B4</f>
        <v>0</v>
      </c>
      <c r="B1" s="732"/>
      <c r="C1" s="732"/>
      <c r="D1" s="732"/>
      <c r="E1" s="732"/>
      <c r="F1" s="732"/>
      <c r="G1" s="732"/>
      <c r="H1" s="732"/>
      <c r="I1" s="732"/>
      <c r="J1" s="732"/>
      <c r="K1" s="733"/>
    </row>
    <row r="2" spans="1:18" x14ac:dyDescent="0.3">
      <c r="A2" s="734" t="s">
        <v>748</v>
      </c>
      <c r="B2" s="735"/>
      <c r="C2" s="735"/>
      <c r="D2" s="735"/>
      <c r="E2" s="735"/>
      <c r="F2" s="735"/>
      <c r="G2" s="735"/>
      <c r="H2" s="735"/>
      <c r="I2" s="735"/>
      <c r="J2" s="735"/>
      <c r="K2" s="736"/>
    </row>
    <row r="3" spans="1:18" x14ac:dyDescent="0.3">
      <c r="A3" s="737" t="str">
        <f>'Basic Information'!B1</f>
        <v>12/31/24</v>
      </c>
      <c r="B3" s="741"/>
      <c r="C3" s="741"/>
      <c r="D3" s="741"/>
      <c r="E3" s="741"/>
      <c r="F3" s="741"/>
      <c r="G3" s="741"/>
      <c r="H3" s="741"/>
      <c r="I3" s="741"/>
      <c r="J3" s="741"/>
      <c r="K3" s="742"/>
    </row>
    <row r="4" spans="1:18" x14ac:dyDescent="0.3">
      <c r="A4" s="738" t="s">
        <v>312</v>
      </c>
      <c r="B4" s="739"/>
      <c r="C4" s="739"/>
      <c r="D4" s="739"/>
      <c r="E4" s="739"/>
      <c r="F4" s="739"/>
      <c r="G4" s="739"/>
      <c r="H4" s="739"/>
      <c r="I4" s="739"/>
      <c r="J4" s="739"/>
      <c r="K4" s="740"/>
    </row>
    <row r="5" spans="1:18" ht="13.5" thickBot="1" x14ac:dyDescent="0.35">
      <c r="A5" s="579"/>
      <c r="B5" s="582"/>
      <c r="C5" s="582"/>
      <c r="D5" s="582"/>
      <c r="E5" s="583"/>
      <c r="F5" s="582"/>
      <c r="G5" s="582"/>
      <c r="H5" s="582"/>
      <c r="I5" s="582"/>
      <c r="J5" s="582"/>
      <c r="K5" s="584"/>
    </row>
    <row r="6" spans="1:18" x14ac:dyDescent="0.3">
      <c r="A6" s="439"/>
    </row>
    <row r="7" spans="1:18" x14ac:dyDescent="0.3">
      <c r="A7" s="45"/>
    </row>
    <row r="8" spans="1:18" x14ac:dyDescent="0.3">
      <c r="A8" s="45" t="s">
        <v>749</v>
      </c>
    </row>
    <row r="9" spans="1:18" x14ac:dyDescent="0.3">
      <c r="A9" s="45"/>
      <c r="H9" s="440"/>
      <c r="N9" s="440"/>
    </row>
    <row r="10" spans="1:18" x14ac:dyDescent="0.3">
      <c r="D10" s="433" t="s">
        <v>43</v>
      </c>
      <c r="G10" s="441"/>
      <c r="H10" s="441"/>
      <c r="I10" s="441"/>
      <c r="J10" s="441"/>
      <c r="K10" s="442"/>
      <c r="L10" s="441"/>
      <c r="M10" s="441"/>
      <c r="N10" s="441"/>
      <c r="O10" s="441"/>
      <c r="P10" s="441"/>
      <c r="Q10" s="442"/>
      <c r="R10" s="441"/>
    </row>
    <row r="11" spans="1:18" x14ac:dyDescent="0.3">
      <c r="A11" s="44" t="s">
        <v>750</v>
      </c>
      <c r="D11" s="443"/>
      <c r="E11" s="588"/>
      <c r="G11" s="441"/>
      <c r="H11" s="441"/>
      <c r="I11" s="441"/>
      <c r="J11" s="441"/>
      <c r="K11" s="441"/>
      <c r="L11" s="441"/>
      <c r="N11" s="441"/>
      <c r="O11" s="441"/>
      <c r="P11" s="441"/>
      <c r="Q11" s="441"/>
      <c r="R11" s="441"/>
    </row>
    <row r="12" spans="1:18" x14ac:dyDescent="0.3">
      <c r="A12" s="44" t="s">
        <v>751</v>
      </c>
      <c r="D12" s="442"/>
      <c r="E12" s="44">
        <f>'Depr &amp; Amort Summary'!D46</f>
        <v>0</v>
      </c>
      <c r="G12" s="441"/>
      <c r="H12" s="444"/>
      <c r="I12" s="445"/>
      <c r="J12" s="445"/>
      <c r="K12" s="442"/>
    </row>
    <row r="13" spans="1:18" x14ac:dyDescent="0.3">
      <c r="A13" s="44" t="s">
        <v>752</v>
      </c>
      <c r="D13" s="443"/>
      <c r="E13" s="446">
        <f>E11-E12</f>
        <v>0</v>
      </c>
      <c r="F13" s="440"/>
      <c r="H13" s="444"/>
      <c r="I13" s="445"/>
      <c r="J13" s="445"/>
      <c r="K13" s="442"/>
    </row>
    <row r="14" spans="1:18" x14ac:dyDescent="0.3">
      <c r="D14" s="443"/>
      <c r="H14" s="444"/>
    </row>
    <row r="15" spans="1:18" x14ac:dyDescent="0.3">
      <c r="D15" s="443"/>
      <c r="H15" s="444"/>
    </row>
    <row r="16" spans="1:18" x14ac:dyDescent="0.3">
      <c r="A16" s="44" t="s">
        <v>753</v>
      </c>
      <c r="D16" s="443"/>
      <c r="E16" s="588"/>
      <c r="G16" s="441"/>
    </row>
    <row r="17" spans="1:27" x14ac:dyDescent="0.3">
      <c r="A17" s="44" t="s">
        <v>754</v>
      </c>
      <c r="D17" s="442" t="s">
        <v>755</v>
      </c>
      <c r="E17" s="44">
        <f>'Depr &amp; Amort Summary'!D76</f>
        <v>0</v>
      </c>
      <c r="F17" s="39"/>
    </row>
    <row r="18" spans="1:27" x14ac:dyDescent="0.3">
      <c r="A18" s="44" t="s">
        <v>752</v>
      </c>
      <c r="D18" s="443"/>
      <c r="E18" s="446">
        <f>E17-E16</f>
        <v>0</v>
      </c>
      <c r="F18" s="440"/>
    </row>
    <row r="22" spans="1:27" ht="13.5" thickBot="1" x14ac:dyDescent="0.35"/>
    <row r="23" spans="1:27" s="39" customFormat="1" x14ac:dyDescent="0.3">
      <c r="A23" s="731">
        <f>'Basic Information'!B4</f>
        <v>0</v>
      </c>
      <c r="B23" s="732"/>
      <c r="C23" s="732"/>
      <c r="D23" s="732"/>
      <c r="E23" s="732"/>
      <c r="F23" s="732"/>
      <c r="G23" s="732"/>
      <c r="H23" s="732"/>
      <c r="I23" s="732"/>
      <c r="J23" s="732"/>
      <c r="K23" s="732"/>
      <c r="L23" s="733"/>
    </row>
    <row r="24" spans="1:27" s="39" customFormat="1" x14ac:dyDescent="0.3">
      <c r="A24" s="734" t="s">
        <v>756</v>
      </c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6"/>
    </row>
    <row r="25" spans="1:27" s="39" customFormat="1" x14ac:dyDescent="0.3">
      <c r="A25" s="737" t="str">
        <f>'Basic Information'!B1</f>
        <v>12/31/24</v>
      </c>
      <c r="B25" s="741"/>
      <c r="C25" s="741"/>
      <c r="D25" s="741"/>
      <c r="E25" s="741"/>
      <c r="F25" s="741"/>
      <c r="G25" s="741"/>
      <c r="H25" s="741"/>
      <c r="I25" s="741"/>
      <c r="J25" s="741"/>
      <c r="K25" s="741"/>
      <c r="L25" s="742"/>
    </row>
    <row r="26" spans="1:27" s="39" customFormat="1" x14ac:dyDescent="0.3">
      <c r="A26" s="738" t="s">
        <v>312</v>
      </c>
      <c r="B26" s="739"/>
      <c r="C26" s="739"/>
      <c r="D26" s="739"/>
      <c r="E26" s="739"/>
      <c r="F26" s="739"/>
      <c r="G26" s="739"/>
      <c r="H26" s="739"/>
      <c r="I26" s="739"/>
      <c r="J26" s="739"/>
      <c r="K26" s="739"/>
      <c r="L26" s="740"/>
    </row>
    <row r="27" spans="1:27" s="39" customFormat="1" ht="13.5" thickBot="1" x14ac:dyDescent="0.35">
      <c r="A27" s="579"/>
      <c r="B27" s="582"/>
      <c r="C27" s="582"/>
      <c r="D27" s="582"/>
      <c r="E27" s="582"/>
      <c r="F27" s="583"/>
      <c r="G27" s="582"/>
      <c r="H27" s="582"/>
      <c r="I27" s="582"/>
      <c r="J27" s="582"/>
      <c r="K27" s="582"/>
      <c r="L27" s="584"/>
    </row>
    <row r="28" spans="1:27" s="39" customFormat="1" x14ac:dyDescent="0.3"/>
    <row r="29" spans="1:27" s="39" customFormat="1" ht="13.5" thickBot="1" x14ac:dyDescent="0.35">
      <c r="G29" s="743" t="s">
        <v>757</v>
      </c>
      <c r="H29" s="743"/>
      <c r="I29" s="743"/>
      <c r="J29" s="743"/>
      <c r="K29" s="743"/>
      <c r="L29" s="743"/>
      <c r="M29" s="743"/>
      <c r="N29" s="743"/>
      <c r="O29" s="743"/>
      <c r="P29" s="743"/>
      <c r="Q29" s="743"/>
      <c r="R29" s="743"/>
      <c r="S29" s="743"/>
      <c r="T29" s="743"/>
      <c r="U29" s="743"/>
      <c r="V29" s="743"/>
      <c r="W29" s="743"/>
      <c r="X29" s="743"/>
      <c r="Y29" s="743"/>
      <c r="Z29" s="743"/>
      <c r="AA29" s="743"/>
    </row>
    <row r="30" spans="1:27" s="39" customFormat="1" ht="29.5" thickBot="1" x14ac:dyDescent="0.4">
      <c r="A30" s="606"/>
      <c r="B30" s="607" t="s">
        <v>758</v>
      </c>
      <c r="C30" s="607" t="s">
        <v>759</v>
      </c>
      <c r="D30" s="607" t="s">
        <v>760</v>
      </c>
      <c r="E30" s="607" t="s">
        <v>761</v>
      </c>
      <c r="F30" s="608" t="s">
        <v>762</v>
      </c>
      <c r="G30" s="609">
        <f t="shared" ref="G30:P30" si="0">H30-1</f>
        <v>2014</v>
      </c>
      <c r="H30" s="610">
        <f t="shared" si="0"/>
        <v>2015</v>
      </c>
      <c r="I30" s="610">
        <f t="shared" si="0"/>
        <v>2016</v>
      </c>
      <c r="J30" s="610">
        <f t="shared" si="0"/>
        <v>2017</v>
      </c>
      <c r="K30" s="610">
        <f t="shared" si="0"/>
        <v>2018</v>
      </c>
      <c r="L30" s="610">
        <f t="shared" si="0"/>
        <v>2019</v>
      </c>
      <c r="M30" s="610">
        <f t="shared" si="0"/>
        <v>2020</v>
      </c>
      <c r="N30" s="610">
        <f t="shared" si="0"/>
        <v>2021</v>
      </c>
      <c r="O30" s="610">
        <f t="shared" si="0"/>
        <v>2022</v>
      </c>
      <c r="P30" s="610">
        <f t="shared" si="0"/>
        <v>2023</v>
      </c>
      <c r="Q30" s="611" t="str">
        <f>"20"&amp;RIGHT(A25,2)</f>
        <v>2024</v>
      </c>
      <c r="R30" s="610">
        <f t="shared" ref="R30:AA30" si="1">Q30+1</f>
        <v>2025</v>
      </c>
      <c r="S30" s="610">
        <f t="shared" si="1"/>
        <v>2026</v>
      </c>
      <c r="T30" s="610">
        <f t="shared" si="1"/>
        <v>2027</v>
      </c>
      <c r="U30" s="610">
        <f t="shared" si="1"/>
        <v>2028</v>
      </c>
      <c r="V30" s="610">
        <f t="shared" si="1"/>
        <v>2029</v>
      </c>
      <c r="W30" s="610">
        <f t="shared" si="1"/>
        <v>2030</v>
      </c>
      <c r="X30" s="610">
        <f t="shared" si="1"/>
        <v>2031</v>
      </c>
      <c r="Y30" s="610">
        <f t="shared" si="1"/>
        <v>2032</v>
      </c>
      <c r="Z30" s="610">
        <f t="shared" si="1"/>
        <v>2033</v>
      </c>
      <c r="AA30" s="612">
        <f t="shared" si="1"/>
        <v>2034</v>
      </c>
    </row>
    <row r="31" spans="1:27" s="39" customFormat="1" x14ac:dyDescent="0.3">
      <c r="A31" s="451" t="s">
        <v>763</v>
      </c>
      <c r="B31" s="585"/>
      <c r="C31" s="585"/>
      <c r="D31" s="586"/>
      <c r="E31" s="586"/>
      <c r="F31" s="452">
        <f t="shared" ref="F31:F39" si="2">IFERROR(D31/E31,0)</f>
        <v>0</v>
      </c>
      <c r="G31" s="427">
        <f t="shared" ref="G31:P39" si="3">IF(IF(G$30-$B31&gt;=0,IF(G$30=$B31,IF($C31=0,(($D31-(((G$30-$B31)+1)*$F31)/2)),(($D31-(((G$30-$B31)+1)*$F31)*($C31/12)))),IF($C31=0,($D31-((G$30-$B31)*$F31))-($F31/2),($D31-((G$30-$B31)*$F31))-($F31*($C31/12)))),0)&gt;0,IF(G$30-$B31&gt;=0,IF(G$30=$B31,IF($C31=0,(($D31-(((G$30-$B31)+1)*$F31)/2)),(($D31-(((G$30-$B31)+1)*$F31)*($C31/12)))),IF($C31=0,($D31-((G$30-$B31)*$F31))-($F31/2),($D31-((G$30-$B31)*$F31))-($F31*($C31/12)))),0),0)</f>
        <v>0</v>
      </c>
      <c r="H31" s="39">
        <f t="shared" si="3"/>
        <v>0</v>
      </c>
      <c r="I31" s="39">
        <f t="shared" si="3"/>
        <v>0</v>
      </c>
      <c r="J31" s="39">
        <f t="shared" si="3"/>
        <v>0</v>
      </c>
      <c r="K31" s="39">
        <f t="shared" si="3"/>
        <v>0</v>
      </c>
      <c r="L31" s="39">
        <f t="shared" si="3"/>
        <v>0</v>
      </c>
      <c r="M31" s="39">
        <f t="shared" si="3"/>
        <v>0</v>
      </c>
      <c r="N31" s="39">
        <f t="shared" si="3"/>
        <v>0</v>
      </c>
      <c r="O31" s="39">
        <f t="shared" si="3"/>
        <v>0</v>
      </c>
      <c r="P31" s="39">
        <f t="shared" si="3"/>
        <v>0</v>
      </c>
      <c r="Q31" s="551">
        <f t="shared" ref="Q31:AA39" si="4">IF(IF(Q$30-$B31&gt;=0,IF(Q$30=$B31,IF($C31=0,(($D31-(((Q$30-$B31)+1)*$F31)/2)),(($D31-(((Q$30-$B31)+1)*$F31)*($C31/12)))),IF($C31=0,($D31-((Q$30-$B31)*$F31))-($F31/2),($D31-((Q$30-$B31)*$F31))-($F31*($C31/12)))),0)&gt;0,IF(Q$30-$B31&gt;=0,IF(Q$30=$B31,IF($C31=0,(($D31-(((Q$30-$B31)+1)*$F31)/2)),(($D31-(((Q$30-$B31)+1)*$F31)*($C31/12)))),IF($C31=0,($D31-((Q$30-$B31)*$F31))-($F31/2),($D31-((Q$30-$B31)*$F31))-($F31*($C31/12)))),0),0)</f>
        <v>0</v>
      </c>
      <c r="R31" s="39">
        <f t="shared" si="4"/>
        <v>0</v>
      </c>
      <c r="S31" s="39">
        <f t="shared" si="4"/>
        <v>0</v>
      </c>
      <c r="T31" s="39">
        <f t="shared" si="4"/>
        <v>0</v>
      </c>
      <c r="U31" s="39">
        <f t="shared" si="4"/>
        <v>0</v>
      </c>
      <c r="V31" s="39">
        <f t="shared" si="4"/>
        <v>0</v>
      </c>
      <c r="W31" s="39">
        <f t="shared" si="4"/>
        <v>0</v>
      </c>
      <c r="X31" s="39">
        <f t="shared" si="4"/>
        <v>0</v>
      </c>
      <c r="Y31" s="39">
        <f t="shared" si="4"/>
        <v>0</v>
      </c>
      <c r="Z31" s="39">
        <f t="shared" si="4"/>
        <v>0</v>
      </c>
      <c r="AA31" s="453">
        <f t="shared" si="4"/>
        <v>0</v>
      </c>
    </row>
    <row r="32" spans="1:27" s="39" customFormat="1" x14ac:dyDescent="0.3">
      <c r="A32" s="451" t="s">
        <v>763</v>
      </c>
      <c r="B32" s="585"/>
      <c r="C32" s="585"/>
      <c r="D32" s="586"/>
      <c r="E32" s="586"/>
      <c r="F32" s="452">
        <f t="shared" si="2"/>
        <v>0</v>
      </c>
      <c r="G32" s="427">
        <f t="shared" si="3"/>
        <v>0</v>
      </c>
      <c r="H32" s="39">
        <f t="shared" si="3"/>
        <v>0</v>
      </c>
      <c r="I32" s="39">
        <f t="shared" si="3"/>
        <v>0</v>
      </c>
      <c r="J32" s="39">
        <f t="shared" si="3"/>
        <v>0</v>
      </c>
      <c r="K32" s="39">
        <f t="shared" si="3"/>
        <v>0</v>
      </c>
      <c r="L32" s="39">
        <f t="shared" si="3"/>
        <v>0</v>
      </c>
      <c r="M32" s="39">
        <f t="shared" si="3"/>
        <v>0</v>
      </c>
      <c r="N32" s="39">
        <f t="shared" si="3"/>
        <v>0</v>
      </c>
      <c r="O32" s="39">
        <f t="shared" si="3"/>
        <v>0</v>
      </c>
      <c r="P32" s="39">
        <f t="shared" si="3"/>
        <v>0</v>
      </c>
      <c r="Q32" s="551">
        <f t="shared" si="4"/>
        <v>0</v>
      </c>
      <c r="R32" s="39">
        <f t="shared" si="4"/>
        <v>0</v>
      </c>
      <c r="S32" s="39">
        <f t="shared" si="4"/>
        <v>0</v>
      </c>
      <c r="T32" s="39">
        <f t="shared" si="4"/>
        <v>0</v>
      </c>
      <c r="U32" s="39">
        <f t="shared" si="4"/>
        <v>0</v>
      </c>
      <c r="V32" s="39">
        <f t="shared" si="4"/>
        <v>0</v>
      </c>
      <c r="W32" s="39">
        <f t="shared" si="4"/>
        <v>0</v>
      </c>
      <c r="X32" s="39">
        <f t="shared" si="4"/>
        <v>0</v>
      </c>
      <c r="Y32" s="39">
        <f t="shared" si="4"/>
        <v>0</v>
      </c>
      <c r="Z32" s="39">
        <f t="shared" si="4"/>
        <v>0</v>
      </c>
      <c r="AA32" s="453">
        <f t="shared" si="4"/>
        <v>0</v>
      </c>
    </row>
    <row r="33" spans="1:27" s="39" customFormat="1" x14ac:dyDescent="0.3">
      <c r="A33" s="451" t="s">
        <v>763</v>
      </c>
      <c r="B33" s="585"/>
      <c r="C33" s="585"/>
      <c r="D33" s="586"/>
      <c r="E33" s="586"/>
      <c r="F33" s="452">
        <f t="shared" si="2"/>
        <v>0</v>
      </c>
      <c r="G33" s="427">
        <f t="shared" si="3"/>
        <v>0</v>
      </c>
      <c r="H33" s="39">
        <f t="shared" si="3"/>
        <v>0</v>
      </c>
      <c r="I33" s="39">
        <f t="shared" si="3"/>
        <v>0</v>
      </c>
      <c r="J33" s="39">
        <f t="shared" si="3"/>
        <v>0</v>
      </c>
      <c r="K33" s="39">
        <f t="shared" si="3"/>
        <v>0</v>
      </c>
      <c r="L33" s="39">
        <f t="shared" si="3"/>
        <v>0</v>
      </c>
      <c r="M33" s="39">
        <f t="shared" si="3"/>
        <v>0</v>
      </c>
      <c r="N33" s="39">
        <f t="shared" si="3"/>
        <v>0</v>
      </c>
      <c r="O33" s="39">
        <f t="shared" si="3"/>
        <v>0</v>
      </c>
      <c r="P33" s="39">
        <f t="shared" si="3"/>
        <v>0</v>
      </c>
      <c r="Q33" s="551">
        <f t="shared" si="4"/>
        <v>0</v>
      </c>
      <c r="R33" s="39">
        <f t="shared" si="4"/>
        <v>0</v>
      </c>
      <c r="S33" s="39">
        <f t="shared" si="4"/>
        <v>0</v>
      </c>
      <c r="T33" s="39">
        <f t="shared" si="4"/>
        <v>0</v>
      </c>
      <c r="U33" s="39">
        <f t="shared" si="4"/>
        <v>0</v>
      </c>
      <c r="V33" s="39">
        <f t="shared" si="4"/>
        <v>0</v>
      </c>
      <c r="W33" s="39">
        <f t="shared" si="4"/>
        <v>0</v>
      </c>
      <c r="X33" s="39">
        <f t="shared" si="4"/>
        <v>0</v>
      </c>
      <c r="Y33" s="39">
        <f t="shared" si="4"/>
        <v>0</v>
      </c>
      <c r="Z33" s="39">
        <f t="shared" si="4"/>
        <v>0</v>
      </c>
      <c r="AA33" s="453">
        <f t="shared" si="4"/>
        <v>0</v>
      </c>
    </row>
    <row r="34" spans="1:27" s="39" customFormat="1" x14ac:dyDescent="0.3">
      <c r="A34" s="451" t="s">
        <v>763</v>
      </c>
      <c r="B34" s="585"/>
      <c r="C34" s="585"/>
      <c r="D34" s="586"/>
      <c r="E34" s="586"/>
      <c r="F34" s="452">
        <f t="shared" si="2"/>
        <v>0</v>
      </c>
      <c r="G34" s="427">
        <f t="shared" si="3"/>
        <v>0</v>
      </c>
      <c r="H34" s="39">
        <f t="shared" si="3"/>
        <v>0</v>
      </c>
      <c r="I34" s="39">
        <f t="shared" si="3"/>
        <v>0</v>
      </c>
      <c r="J34" s="39">
        <f t="shared" si="3"/>
        <v>0</v>
      </c>
      <c r="K34" s="39">
        <f t="shared" si="3"/>
        <v>0</v>
      </c>
      <c r="L34" s="39">
        <f t="shared" si="3"/>
        <v>0</v>
      </c>
      <c r="M34" s="39">
        <f t="shared" si="3"/>
        <v>0</v>
      </c>
      <c r="N34" s="39">
        <f t="shared" si="3"/>
        <v>0</v>
      </c>
      <c r="O34" s="39">
        <f t="shared" si="3"/>
        <v>0</v>
      </c>
      <c r="P34" s="39">
        <f t="shared" si="3"/>
        <v>0</v>
      </c>
      <c r="Q34" s="551">
        <f t="shared" si="4"/>
        <v>0</v>
      </c>
      <c r="R34" s="39">
        <f t="shared" si="4"/>
        <v>0</v>
      </c>
      <c r="S34" s="39">
        <f t="shared" si="4"/>
        <v>0</v>
      </c>
      <c r="T34" s="39">
        <f t="shared" si="4"/>
        <v>0</v>
      </c>
      <c r="U34" s="39">
        <f t="shared" si="4"/>
        <v>0</v>
      </c>
      <c r="V34" s="39">
        <f t="shared" si="4"/>
        <v>0</v>
      </c>
      <c r="W34" s="39">
        <f t="shared" si="4"/>
        <v>0</v>
      </c>
      <c r="X34" s="39">
        <f t="shared" si="4"/>
        <v>0</v>
      </c>
      <c r="Y34" s="39">
        <f t="shared" si="4"/>
        <v>0</v>
      </c>
      <c r="Z34" s="39">
        <f t="shared" si="4"/>
        <v>0</v>
      </c>
      <c r="AA34" s="453">
        <f t="shared" si="4"/>
        <v>0</v>
      </c>
    </row>
    <row r="35" spans="1:27" s="39" customFormat="1" x14ac:dyDescent="0.3">
      <c r="A35" s="451" t="s">
        <v>763</v>
      </c>
      <c r="B35" s="585"/>
      <c r="C35" s="585"/>
      <c r="D35" s="586"/>
      <c r="E35" s="586"/>
      <c r="F35" s="452">
        <f t="shared" si="2"/>
        <v>0</v>
      </c>
      <c r="G35" s="427">
        <f t="shared" si="3"/>
        <v>0</v>
      </c>
      <c r="H35" s="39">
        <f t="shared" si="3"/>
        <v>0</v>
      </c>
      <c r="I35" s="39">
        <f t="shared" si="3"/>
        <v>0</v>
      </c>
      <c r="J35" s="39">
        <f t="shared" si="3"/>
        <v>0</v>
      </c>
      <c r="K35" s="39">
        <f t="shared" si="3"/>
        <v>0</v>
      </c>
      <c r="L35" s="39">
        <f t="shared" si="3"/>
        <v>0</v>
      </c>
      <c r="M35" s="39">
        <f t="shared" si="3"/>
        <v>0</v>
      </c>
      <c r="N35" s="39">
        <f t="shared" si="3"/>
        <v>0</v>
      </c>
      <c r="O35" s="39">
        <f t="shared" si="3"/>
        <v>0</v>
      </c>
      <c r="P35" s="39">
        <f t="shared" si="3"/>
        <v>0</v>
      </c>
      <c r="Q35" s="551">
        <f t="shared" si="4"/>
        <v>0</v>
      </c>
      <c r="R35" s="39">
        <f t="shared" si="4"/>
        <v>0</v>
      </c>
      <c r="S35" s="39">
        <f t="shared" si="4"/>
        <v>0</v>
      </c>
      <c r="T35" s="39">
        <f t="shared" si="4"/>
        <v>0</v>
      </c>
      <c r="U35" s="39">
        <f t="shared" si="4"/>
        <v>0</v>
      </c>
      <c r="V35" s="39">
        <f t="shared" si="4"/>
        <v>0</v>
      </c>
      <c r="W35" s="39">
        <f t="shared" si="4"/>
        <v>0</v>
      </c>
      <c r="X35" s="39">
        <f t="shared" si="4"/>
        <v>0</v>
      </c>
      <c r="Y35" s="39">
        <f t="shared" si="4"/>
        <v>0</v>
      </c>
      <c r="Z35" s="39">
        <f t="shared" si="4"/>
        <v>0</v>
      </c>
      <c r="AA35" s="453">
        <f t="shared" si="4"/>
        <v>0</v>
      </c>
    </row>
    <row r="36" spans="1:27" s="39" customFormat="1" x14ac:dyDescent="0.3">
      <c r="A36" s="451" t="s">
        <v>763</v>
      </c>
      <c r="B36" s="585"/>
      <c r="C36" s="585"/>
      <c r="D36" s="586"/>
      <c r="E36" s="586"/>
      <c r="F36" s="452">
        <f t="shared" si="2"/>
        <v>0</v>
      </c>
      <c r="G36" s="427">
        <f t="shared" si="3"/>
        <v>0</v>
      </c>
      <c r="H36" s="39">
        <f t="shared" si="3"/>
        <v>0</v>
      </c>
      <c r="I36" s="39">
        <f t="shared" si="3"/>
        <v>0</v>
      </c>
      <c r="J36" s="39">
        <f t="shared" si="3"/>
        <v>0</v>
      </c>
      <c r="K36" s="39">
        <f t="shared" si="3"/>
        <v>0</v>
      </c>
      <c r="L36" s="39">
        <f t="shared" si="3"/>
        <v>0</v>
      </c>
      <c r="M36" s="39">
        <f t="shared" si="3"/>
        <v>0</v>
      </c>
      <c r="N36" s="39">
        <f t="shared" si="3"/>
        <v>0</v>
      </c>
      <c r="O36" s="39">
        <f t="shared" si="3"/>
        <v>0</v>
      </c>
      <c r="P36" s="39">
        <f t="shared" si="3"/>
        <v>0</v>
      </c>
      <c r="Q36" s="551">
        <f t="shared" si="4"/>
        <v>0</v>
      </c>
      <c r="R36" s="39">
        <f t="shared" si="4"/>
        <v>0</v>
      </c>
      <c r="S36" s="39">
        <f t="shared" si="4"/>
        <v>0</v>
      </c>
      <c r="T36" s="39">
        <f t="shared" si="4"/>
        <v>0</v>
      </c>
      <c r="U36" s="39">
        <f t="shared" si="4"/>
        <v>0</v>
      </c>
      <c r="V36" s="39">
        <f t="shared" si="4"/>
        <v>0</v>
      </c>
      <c r="W36" s="39">
        <f t="shared" si="4"/>
        <v>0</v>
      </c>
      <c r="X36" s="39">
        <f t="shared" si="4"/>
        <v>0</v>
      </c>
      <c r="Y36" s="39">
        <f t="shared" si="4"/>
        <v>0</v>
      </c>
      <c r="Z36" s="39">
        <f t="shared" si="4"/>
        <v>0</v>
      </c>
      <c r="AA36" s="453">
        <f t="shared" si="4"/>
        <v>0</v>
      </c>
    </row>
    <row r="37" spans="1:27" s="39" customFormat="1" x14ac:dyDescent="0.3">
      <c r="A37" s="451" t="s">
        <v>763</v>
      </c>
      <c r="B37" s="585"/>
      <c r="C37" s="585"/>
      <c r="D37" s="586"/>
      <c r="E37" s="586"/>
      <c r="F37" s="452">
        <f t="shared" si="2"/>
        <v>0</v>
      </c>
      <c r="G37" s="427">
        <f t="shared" si="3"/>
        <v>0</v>
      </c>
      <c r="H37" s="39">
        <f t="shared" si="3"/>
        <v>0</v>
      </c>
      <c r="I37" s="39">
        <f t="shared" si="3"/>
        <v>0</v>
      </c>
      <c r="J37" s="39">
        <f t="shared" si="3"/>
        <v>0</v>
      </c>
      <c r="K37" s="39">
        <f t="shared" si="3"/>
        <v>0</v>
      </c>
      <c r="L37" s="39">
        <f t="shared" si="3"/>
        <v>0</v>
      </c>
      <c r="M37" s="39">
        <f t="shared" si="3"/>
        <v>0</v>
      </c>
      <c r="N37" s="39">
        <f t="shared" si="3"/>
        <v>0</v>
      </c>
      <c r="O37" s="39">
        <f t="shared" si="3"/>
        <v>0</v>
      </c>
      <c r="P37" s="39">
        <f t="shared" si="3"/>
        <v>0</v>
      </c>
      <c r="Q37" s="551">
        <f t="shared" si="4"/>
        <v>0</v>
      </c>
      <c r="R37" s="39">
        <f t="shared" si="4"/>
        <v>0</v>
      </c>
      <c r="S37" s="39">
        <f t="shared" si="4"/>
        <v>0</v>
      </c>
      <c r="T37" s="39">
        <f t="shared" si="4"/>
        <v>0</v>
      </c>
      <c r="U37" s="39">
        <f t="shared" si="4"/>
        <v>0</v>
      </c>
      <c r="V37" s="39">
        <f t="shared" si="4"/>
        <v>0</v>
      </c>
      <c r="W37" s="39">
        <f t="shared" si="4"/>
        <v>0</v>
      </c>
      <c r="X37" s="39">
        <f t="shared" si="4"/>
        <v>0</v>
      </c>
      <c r="Y37" s="39">
        <f t="shared" si="4"/>
        <v>0</v>
      </c>
      <c r="Z37" s="39">
        <f t="shared" si="4"/>
        <v>0</v>
      </c>
      <c r="AA37" s="453">
        <f t="shared" si="4"/>
        <v>0</v>
      </c>
    </row>
    <row r="38" spans="1:27" s="39" customFormat="1" x14ac:dyDescent="0.3">
      <c r="A38" s="451" t="s">
        <v>763</v>
      </c>
      <c r="B38" s="585"/>
      <c r="C38" s="585"/>
      <c r="D38" s="586"/>
      <c r="E38" s="586"/>
      <c r="F38" s="452">
        <f t="shared" si="2"/>
        <v>0</v>
      </c>
      <c r="G38" s="427">
        <f t="shared" si="3"/>
        <v>0</v>
      </c>
      <c r="H38" s="39">
        <f t="shared" si="3"/>
        <v>0</v>
      </c>
      <c r="I38" s="39">
        <f t="shared" si="3"/>
        <v>0</v>
      </c>
      <c r="J38" s="39">
        <f t="shared" si="3"/>
        <v>0</v>
      </c>
      <c r="K38" s="39">
        <f t="shared" si="3"/>
        <v>0</v>
      </c>
      <c r="L38" s="39">
        <f t="shared" si="3"/>
        <v>0</v>
      </c>
      <c r="M38" s="39">
        <f t="shared" si="3"/>
        <v>0</v>
      </c>
      <c r="N38" s="39">
        <f t="shared" si="3"/>
        <v>0</v>
      </c>
      <c r="O38" s="39">
        <f t="shared" si="3"/>
        <v>0</v>
      </c>
      <c r="P38" s="39">
        <f t="shared" si="3"/>
        <v>0</v>
      </c>
      <c r="Q38" s="551">
        <f t="shared" si="4"/>
        <v>0</v>
      </c>
      <c r="R38" s="39">
        <f t="shared" si="4"/>
        <v>0</v>
      </c>
      <c r="S38" s="39">
        <f t="shared" si="4"/>
        <v>0</v>
      </c>
      <c r="T38" s="39">
        <f t="shared" si="4"/>
        <v>0</v>
      </c>
      <c r="U38" s="39">
        <f t="shared" si="4"/>
        <v>0</v>
      </c>
      <c r="V38" s="39">
        <f t="shared" si="4"/>
        <v>0</v>
      </c>
      <c r="W38" s="39">
        <f t="shared" si="4"/>
        <v>0</v>
      </c>
      <c r="X38" s="39">
        <f t="shared" si="4"/>
        <v>0</v>
      </c>
      <c r="Y38" s="39">
        <f t="shared" si="4"/>
        <v>0</v>
      </c>
      <c r="Z38" s="39">
        <f t="shared" si="4"/>
        <v>0</v>
      </c>
      <c r="AA38" s="453">
        <f t="shared" si="4"/>
        <v>0</v>
      </c>
    </row>
    <row r="39" spans="1:27" s="39" customFormat="1" x14ac:dyDescent="0.3">
      <c r="A39" s="451" t="s">
        <v>763</v>
      </c>
      <c r="B39" s="587"/>
      <c r="C39" s="587"/>
      <c r="D39" s="586"/>
      <c r="E39" s="586"/>
      <c r="F39" s="452">
        <f t="shared" si="2"/>
        <v>0</v>
      </c>
      <c r="G39" s="427">
        <f t="shared" si="3"/>
        <v>0</v>
      </c>
      <c r="H39" s="39">
        <f t="shared" si="3"/>
        <v>0</v>
      </c>
      <c r="I39" s="39">
        <f t="shared" si="3"/>
        <v>0</v>
      </c>
      <c r="J39" s="39">
        <f t="shared" si="3"/>
        <v>0</v>
      </c>
      <c r="K39" s="39">
        <f t="shared" si="3"/>
        <v>0</v>
      </c>
      <c r="L39" s="39">
        <f t="shared" si="3"/>
        <v>0</v>
      </c>
      <c r="M39" s="39">
        <f t="shared" si="3"/>
        <v>0</v>
      </c>
      <c r="N39" s="39">
        <f t="shared" si="3"/>
        <v>0</v>
      </c>
      <c r="O39" s="39">
        <f t="shared" si="3"/>
        <v>0</v>
      </c>
      <c r="P39" s="39">
        <f t="shared" si="3"/>
        <v>0</v>
      </c>
      <c r="Q39" s="551">
        <f t="shared" si="4"/>
        <v>0</v>
      </c>
      <c r="R39" s="39">
        <f t="shared" si="4"/>
        <v>0</v>
      </c>
      <c r="S39" s="39">
        <f t="shared" si="4"/>
        <v>0</v>
      </c>
      <c r="T39" s="39">
        <f t="shared" si="4"/>
        <v>0</v>
      </c>
      <c r="U39" s="39">
        <f t="shared" si="4"/>
        <v>0</v>
      </c>
      <c r="V39" s="39">
        <f t="shared" si="4"/>
        <v>0</v>
      </c>
      <c r="W39" s="39">
        <f t="shared" si="4"/>
        <v>0</v>
      </c>
      <c r="X39" s="39">
        <f t="shared" si="4"/>
        <v>0</v>
      </c>
      <c r="Y39" s="39">
        <f t="shared" si="4"/>
        <v>0</v>
      </c>
      <c r="Z39" s="39">
        <f t="shared" si="4"/>
        <v>0</v>
      </c>
      <c r="AA39" s="453">
        <f t="shared" si="4"/>
        <v>0</v>
      </c>
    </row>
    <row r="40" spans="1:27" s="39" customFormat="1" x14ac:dyDescent="0.3">
      <c r="A40" s="454"/>
      <c r="B40" s="455"/>
      <c r="C40" s="455"/>
      <c r="F40" s="427"/>
      <c r="G40" s="427"/>
      <c r="AA40" s="453"/>
    </row>
    <row r="41" spans="1:27" s="39" customFormat="1" ht="13.5" thickBot="1" x14ac:dyDescent="0.35">
      <c r="A41" s="454" t="s">
        <v>58</v>
      </c>
      <c r="B41" s="455"/>
      <c r="C41" s="455"/>
      <c r="D41" s="456">
        <f>SUM(D31:D39)</f>
        <v>0</v>
      </c>
      <c r="F41" s="457">
        <f t="shared" ref="F41:P41" si="5">SUM(F31:F37)</f>
        <v>0</v>
      </c>
      <c r="G41" s="457">
        <f t="shared" si="5"/>
        <v>0</v>
      </c>
      <c r="H41" s="456">
        <f t="shared" si="5"/>
        <v>0</v>
      </c>
      <c r="I41" s="456">
        <f t="shared" si="5"/>
        <v>0</v>
      </c>
      <c r="J41" s="456">
        <f t="shared" si="5"/>
        <v>0</v>
      </c>
      <c r="K41" s="456">
        <f t="shared" si="5"/>
        <v>0</v>
      </c>
      <c r="L41" s="456">
        <f t="shared" si="5"/>
        <v>0</v>
      </c>
      <c r="M41" s="456">
        <f t="shared" si="5"/>
        <v>0</v>
      </c>
      <c r="N41" s="456">
        <f t="shared" si="5"/>
        <v>0</v>
      </c>
      <c r="O41" s="456">
        <f t="shared" si="5"/>
        <v>0</v>
      </c>
      <c r="P41" s="456">
        <f t="shared" si="5"/>
        <v>0</v>
      </c>
      <c r="Q41" s="456">
        <f t="shared" ref="Q41:AA41" si="6">SUM(Q31:Q39)</f>
        <v>0</v>
      </c>
      <c r="R41" s="456">
        <f t="shared" si="6"/>
        <v>0</v>
      </c>
      <c r="S41" s="456">
        <f t="shared" si="6"/>
        <v>0</v>
      </c>
      <c r="T41" s="456">
        <f t="shared" si="6"/>
        <v>0</v>
      </c>
      <c r="U41" s="456">
        <f t="shared" si="6"/>
        <v>0</v>
      </c>
      <c r="V41" s="456">
        <f t="shared" si="6"/>
        <v>0</v>
      </c>
      <c r="W41" s="456">
        <f t="shared" si="6"/>
        <v>0</v>
      </c>
      <c r="X41" s="456">
        <f t="shared" si="6"/>
        <v>0</v>
      </c>
      <c r="Y41" s="456">
        <f t="shared" si="6"/>
        <v>0</v>
      </c>
      <c r="Z41" s="456">
        <f t="shared" si="6"/>
        <v>0</v>
      </c>
      <c r="AA41" s="458">
        <f t="shared" si="6"/>
        <v>0</v>
      </c>
    </row>
    <row r="42" spans="1:27" s="39" customFormat="1" ht="14" thickTop="1" thickBot="1" x14ac:dyDescent="0.35">
      <c r="A42" s="459"/>
      <c r="B42" s="460"/>
      <c r="C42" s="460"/>
      <c r="D42" s="42"/>
      <c r="E42" s="42"/>
      <c r="F42" s="429"/>
      <c r="G42" s="429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61"/>
    </row>
    <row r="43" spans="1:27" s="39" customFormat="1" x14ac:dyDescent="0.3">
      <c r="B43" s="455"/>
      <c r="C43" s="455"/>
    </row>
    <row r="44" spans="1:27" s="39" customFormat="1" x14ac:dyDescent="0.3">
      <c r="A44" s="370" t="s">
        <v>764</v>
      </c>
      <c r="B44" s="455"/>
      <c r="C44" s="455"/>
      <c r="D44" s="260">
        <f>P41</f>
        <v>0</v>
      </c>
    </row>
    <row r="45" spans="1:27" s="39" customFormat="1" x14ac:dyDescent="0.3">
      <c r="A45" s="370" t="str">
        <f>"20"&amp;RIGHT(A25,2)&amp;" Additions"</f>
        <v>2024 Additions</v>
      </c>
      <c r="B45" s="455"/>
      <c r="C45" s="455"/>
      <c r="D45" s="39">
        <f>SUMIF($B$31:$B$39,"20"&amp;RIGHT(A25,2),$D$31:$D$39)</f>
        <v>0</v>
      </c>
    </row>
    <row r="46" spans="1:27" s="39" customFormat="1" ht="13.5" thickBot="1" x14ac:dyDescent="0.35">
      <c r="A46" s="370" t="str">
        <f>"20"&amp;RIGHT(A25,2)&amp;" Tax Depreciation"</f>
        <v>2024 Tax Depreciation</v>
      </c>
      <c r="B46" s="455"/>
      <c r="C46" s="455"/>
      <c r="D46" s="462">
        <f>D44+D45-Q41</f>
        <v>0</v>
      </c>
    </row>
    <row r="47" spans="1:27" s="39" customFormat="1" ht="13.5" thickTop="1" x14ac:dyDescent="0.3">
      <c r="B47" s="455"/>
      <c r="C47" s="455"/>
    </row>
    <row r="48" spans="1:27" s="39" customFormat="1" x14ac:dyDescent="0.3"/>
    <row r="49" spans="1:27" s="39" customFormat="1" x14ac:dyDescent="0.3">
      <c r="A49" s="370" t="s">
        <v>765</v>
      </c>
    </row>
    <row r="52" spans="1:27" ht="13.5" thickBot="1" x14ac:dyDescent="0.35"/>
    <row r="53" spans="1:27" s="39" customFormat="1" x14ac:dyDescent="0.3">
      <c r="A53" s="731">
        <f>'Basic Information'!B4</f>
        <v>0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3"/>
    </row>
    <row r="54" spans="1:27" s="39" customFormat="1" x14ac:dyDescent="0.3">
      <c r="A54" s="734" t="s">
        <v>766</v>
      </c>
      <c r="B54" s="735"/>
      <c r="C54" s="735"/>
      <c r="D54" s="735"/>
      <c r="E54" s="735"/>
      <c r="F54" s="735"/>
      <c r="G54" s="735"/>
      <c r="H54" s="735"/>
      <c r="I54" s="735"/>
      <c r="J54" s="735"/>
      <c r="K54" s="735"/>
      <c r="L54" s="736"/>
    </row>
    <row r="55" spans="1:27" s="39" customFormat="1" x14ac:dyDescent="0.3">
      <c r="A55" s="737" t="str">
        <f>'Basic Information'!B1</f>
        <v>12/31/24</v>
      </c>
      <c r="B55" s="741"/>
      <c r="C55" s="741"/>
      <c r="D55" s="741"/>
      <c r="E55" s="741"/>
      <c r="F55" s="741"/>
      <c r="G55" s="741"/>
      <c r="H55" s="741"/>
      <c r="I55" s="741"/>
      <c r="J55" s="741"/>
      <c r="K55" s="741"/>
      <c r="L55" s="742"/>
    </row>
    <row r="56" spans="1:27" s="39" customFormat="1" x14ac:dyDescent="0.3">
      <c r="A56" s="738" t="s">
        <v>312</v>
      </c>
      <c r="B56" s="739"/>
      <c r="C56" s="739"/>
      <c r="D56" s="739"/>
      <c r="E56" s="739"/>
      <c r="F56" s="739"/>
      <c r="G56" s="739"/>
      <c r="H56" s="739"/>
      <c r="I56" s="739"/>
      <c r="J56" s="739"/>
      <c r="K56" s="739"/>
      <c r="L56" s="740"/>
    </row>
    <row r="57" spans="1:27" s="39" customFormat="1" ht="13.5" thickBot="1" x14ac:dyDescent="0.35">
      <c r="A57" s="579"/>
      <c r="B57" s="582"/>
      <c r="C57" s="582"/>
      <c r="D57" s="582"/>
      <c r="E57" s="582"/>
      <c r="F57" s="583"/>
      <c r="G57" s="582"/>
      <c r="H57" s="582"/>
      <c r="I57" s="582"/>
      <c r="J57" s="582"/>
      <c r="K57" s="582"/>
      <c r="L57" s="584"/>
    </row>
    <row r="58" spans="1:27" s="39" customFormat="1" x14ac:dyDescent="0.3"/>
    <row r="59" spans="1:27" s="39" customFormat="1" ht="13.5" thickBot="1" x14ac:dyDescent="0.35">
      <c r="G59" s="743" t="s">
        <v>757</v>
      </c>
      <c r="H59" s="743"/>
      <c r="I59" s="743"/>
      <c r="J59" s="743"/>
      <c r="K59" s="743"/>
      <c r="L59" s="743"/>
      <c r="M59" s="743"/>
      <c r="N59" s="743"/>
      <c r="O59" s="743"/>
      <c r="P59" s="743"/>
      <c r="Q59" s="743"/>
      <c r="R59" s="743"/>
      <c r="S59" s="743"/>
      <c r="T59" s="743"/>
      <c r="U59" s="743"/>
      <c r="V59" s="743"/>
      <c r="W59" s="743"/>
      <c r="X59" s="743"/>
      <c r="Y59" s="743"/>
      <c r="Z59" s="743"/>
      <c r="AA59" s="743"/>
    </row>
    <row r="60" spans="1:27" s="39" customFormat="1" ht="29.5" thickBot="1" x14ac:dyDescent="0.4">
      <c r="A60" s="448"/>
      <c r="B60" s="449" t="s">
        <v>758</v>
      </c>
      <c r="C60" s="449" t="s">
        <v>759</v>
      </c>
      <c r="D60" s="449" t="s">
        <v>760</v>
      </c>
      <c r="E60" s="449" t="s">
        <v>761</v>
      </c>
      <c r="F60" s="450" t="s">
        <v>767</v>
      </c>
      <c r="G60" s="609">
        <f t="shared" ref="G60:P60" si="7">H60-1</f>
        <v>2014</v>
      </c>
      <c r="H60" s="610">
        <f t="shared" si="7"/>
        <v>2015</v>
      </c>
      <c r="I60" s="610">
        <f t="shared" si="7"/>
        <v>2016</v>
      </c>
      <c r="J60" s="610">
        <f t="shared" si="7"/>
        <v>2017</v>
      </c>
      <c r="K60" s="610">
        <f t="shared" si="7"/>
        <v>2018</v>
      </c>
      <c r="L60" s="610">
        <f t="shared" si="7"/>
        <v>2019</v>
      </c>
      <c r="M60" s="610">
        <f t="shared" si="7"/>
        <v>2020</v>
      </c>
      <c r="N60" s="610">
        <f t="shared" si="7"/>
        <v>2021</v>
      </c>
      <c r="O60" s="610">
        <f t="shared" si="7"/>
        <v>2022</v>
      </c>
      <c r="P60" s="610">
        <f t="shared" si="7"/>
        <v>2023</v>
      </c>
      <c r="Q60" s="611" t="str">
        <f>"20"&amp;RIGHT(A55,2)</f>
        <v>2024</v>
      </c>
      <c r="R60" s="610">
        <f t="shared" ref="R60:AA60" si="8">Q60+1</f>
        <v>2025</v>
      </c>
      <c r="S60" s="610">
        <f t="shared" si="8"/>
        <v>2026</v>
      </c>
      <c r="T60" s="610">
        <f t="shared" si="8"/>
        <v>2027</v>
      </c>
      <c r="U60" s="610">
        <f t="shared" si="8"/>
        <v>2028</v>
      </c>
      <c r="V60" s="610">
        <f t="shared" si="8"/>
        <v>2029</v>
      </c>
      <c r="W60" s="610">
        <f t="shared" si="8"/>
        <v>2030</v>
      </c>
      <c r="X60" s="610">
        <f t="shared" si="8"/>
        <v>2031</v>
      </c>
      <c r="Y60" s="610">
        <f t="shared" si="8"/>
        <v>2032</v>
      </c>
      <c r="Z60" s="610">
        <f t="shared" si="8"/>
        <v>2033</v>
      </c>
      <c r="AA60" s="612">
        <f t="shared" si="8"/>
        <v>2034</v>
      </c>
    </row>
    <row r="61" spans="1:27" s="39" customFormat="1" x14ac:dyDescent="0.3">
      <c r="A61" s="451" t="s">
        <v>763</v>
      </c>
      <c r="B61" s="585"/>
      <c r="C61" s="585"/>
      <c r="D61" s="586"/>
      <c r="E61" s="586"/>
      <c r="F61" s="452">
        <f t="shared" ref="F61:F69" si="9">IFERROR(D61/E61,0)</f>
        <v>0</v>
      </c>
      <c r="G61" s="427">
        <f t="shared" ref="G61:P69" si="10">IF(IF(G$60-$B61&gt;=0,IF(G$60=$B61,IF($C61=0,(($D61-(((G$60-$B61)+1)*$F61)/2)),(($D61-(((G$60-$B61)+1)*$F61)*($C61/12)))),IF($C61=0,($D61-((G$60-$B61)*$F61))-($F61/2),($D61-((G$60-$B61)*$F61))-($F61*($C61/12)))),0)&gt;0,IF(G$60-$B61&gt;=0,IF(G$60=$B61,IF($C61=0,(($D61-(((G$60-$B61)+1)*$F61)/2)),(($D61-(((G$60-$B61)+1)*$F61)*($C61/12)))),IF($C61=0,($D61-((G$60-$B61)*$F61))-($F61/2),($D61-((G$60-$B61)*$F61))-($F61*($C61/12)))),0),0)</f>
        <v>0</v>
      </c>
      <c r="H61" s="39">
        <f t="shared" si="10"/>
        <v>0</v>
      </c>
      <c r="I61" s="39">
        <f t="shared" si="10"/>
        <v>0</v>
      </c>
      <c r="J61" s="39">
        <f t="shared" si="10"/>
        <v>0</v>
      </c>
      <c r="K61" s="39">
        <f t="shared" si="10"/>
        <v>0</v>
      </c>
      <c r="L61" s="39">
        <f t="shared" si="10"/>
        <v>0</v>
      </c>
      <c r="M61" s="39">
        <f t="shared" si="10"/>
        <v>0</v>
      </c>
      <c r="N61" s="39">
        <f t="shared" si="10"/>
        <v>0</v>
      </c>
      <c r="O61" s="39">
        <f t="shared" si="10"/>
        <v>0</v>
      </c>
      <c r="P61" s="39">
        <f t="shared" si="10"/>
        <v>0</v>
      </c>
      <c r="Q61" s="551">
        <f t="shared" ref="Q61:AA69" si="11">IF(IF(Q$60-$B61&gt;=0,IF(Q$60=$B61,IF($C61=0,(($D61-(((Q$60-$B61)+1)*$F61)/2)),(($D61-(((Q$60-$B61)+1)*$F61)*($C61/12)))),IF($C61=0,($D61-((Q$60-$B61)*$F61))-($F61/2),($D61-((Q$60-$B61)*$F61))-($F61*($C61/12)))),0)&gt;0,IF(Q$60-$B61&gt;=0,IF(Q$60=$B61,IF($C61=0,(($D61-(((Q$60-$B61)+1)*$F61)/2)),(($D61-(((Q$60-$B61)+1)*$F61)*($C61/12)))),IF($C61=0,($D61-((Q$60-$B61)*$F61))-($F61/2),($D61-((Q$60-$B61)*$F61))-($F61*($C61/12)))),0),0)</f>
        <v>0</v>
      </c>
      <c r="R61" s="39">
        <f t="shared" si="11"/>
        <v>0</v>
      </c>
      <c r="S61" s="39">
        <f t="shared" si="11"/>
        <v>0</v>
      </c>
      <c r="T61" s="39">
        <f t="shared" si="11"/>
        <v>0</v>
      </c>
      <c r="U61" s="39">
        <f t="shared" si="11"/>
        <v>0</v>
      </c>
      <c r="V61" s="39">
        <f t="shared" si="11"/>
        <v>0</v>
      </c>
      <c r="W61" s="39">
        <f t="shared" si="11"/>
        <v>0</v>
      </c>
      <c r="X61" s="39">
        <f t="shared" si="11"/>
        <v>0</v>
      </c>
      <c r="Y61" s="39">
        <f t="shared" si="11"/>
        <v>0</v>
      </c>
      <c r="Z61" s="39">
        <f t="shared" si="11"/>
        <v>0</v>
      </c>
      <c r="AA61" s="453">
        <f t="shared" si="11"/>
        <v>0</v>
      </c>
    </row>
    <row r="62" spans="1:27" s="39" customFormat="1" x14ac:dyDescent="0.3">
      <c r="A62" s="451" t="s">
        <v>763</v>
      </c>
      <c r="B62" s="585"/>
      <c r="C62" s="585"/>
      <c r="D62" s="586"/>
      <c r="E62" s="586"/>
      <c r="F62" s="452">
        <f t="shared" si="9"/>
        <v>0</v>
      </c>
      <c r="G62" s="427">
        <f t="shared" si="10"/>
        <v>0</v>
      </c>
      <c r="H62" s="39">
        <f t="shared" si="10"/>
        <v>0</v>
      </c>
      <c r="I62" s="39">
        <f t="shared" si="10"/>
        <v>0</v>
      </c>
      <c r="J62" s="39">
        <f t="shared" si="10"/>
        <v>0</v>
      </c>
      <c r="K62" s="39">
        <f t="shared" si="10"/>
        <v>0</v>
      </c>
      <c r="L62" s="39">
        <f t="shared" si="10"/>
        <v>0</v>
      </c>
      <c r="M62" s="39">
        <f t="shared" si="10"/>
        <v>0</v>
      </c>
      <c r="N62" s="39">
        <f t="shared" si="10"/>
        <v>0</v>
      </c>
      <c r="O62" s="39">
        <f t="shared" si="10"/>
        <v>0</v>
      </c>
      <c r="P62" s="39">
        <f t="shared" si="10"/>
        <v>0</v>
      </c>
      <c r="Q62" s="551">
        <f t="shared" si="11"/>
        <v>0</v>
      </c>
      <c r="R62" s="39">
        <f t="shared" si="11"/>
        <v>0</v>
      </c>
      <c r="S62" s="39">
        <f t="shared" si="11"/>
        <v>0</v>
      </c>
      <c r="T62" s="39">
        <f t="shared" si="11"/>
        <v>0</v>
      </c>
      <c r="U62" s="39">
        <f t="shared" si="11"/>
        <v>0</v>
      </c>
      <c r="V62" s="39">
        <f t="shared" si="11"/>
        <v>0</v>
      </c>
      <c r="W62" s="39">
        <f t="shared" si="11"/>
        <v>0</v>
      </c>
      <c r="X62" s="39">
        <f t="shared" si="11"/>
        <v>0</v>
      </c>
      <c r="Y62" s="39">
        <f t="shared" si="11"/>
        <v>0</v>
      </c>
      <c r="Z62" s="39">
        <f t="shared" si="11"/>
        <v>0</v>
      </c>
      <c r="AA62" s="453">
        <f t="shared" si="11"/>
        <v>0</v>
      </c>
    </row>
    <row r="63" spans="1:27" s="39" customFormat="1" x14ac:dyDescent="0.3">
      <c r="A63" s="451" t="s">
        <v>763</v>
      </c>
      <c r="B63" s="585"/>
      <c r="C63" s="585"/>
      <c r="D63" s="586"/>
      <c r="E63" s="586"/>
      <c r="F63" s="452">
        <f t="shared" si="9"/>
        <v>0</v>
      </c>
      <c r="G63" s="427">
        <f t="shared" si="10"/>
        <v>0</v>
      </c>
      <c r="H63" s="39">
        <f t="shared" si="10"/>
        <v>0</v>
      </c>
      <c r="I63" s="39">
        <f t="shared" si="10"/>
        <v>0</v>
      </c>
      <c r="J63" s="39">
        <f t="shared" si="10"/>
        <v>0</v>
      </c>
      <c r="K63" s="39">
        <f t="shared" si="10"/>
        <v>0</v>
      </c>
      <c r="L63" s="39">
        <f t="shared" si="10"/>
        <v>0</v>
      </c>
      <c r="M63" s="39">
        <f t="shared" si="10"/>
        <v>0</v>
      </c>
      <c r="N63" s="39">
        <f t="shared" si="10"/>
        <v>0</v>
      </c>
      <c r="O63" s="39">
        <f t="shared" si="10"/>
        <v>0</v>
      </c>
      <c r="P63" s="39">
        <f t="shared" si="10"/>
        <v>0</v>
      </c>
      <c r="Q63" s="551">
        <f t="shared" si="11"/>
        <v>0</v>
      </c>
      <c r="R63" s="39">
        <f t="shared" si="11"/>
        <v>0</v>
      </c>
      <c r="S63" s="39">
        <f t="shared" si="11"/>
        <v>0</v>
      </c>
      <c r="T63" s="39">
        <f t="shared" si="11"/>
        <v>0</v>
      </c>
      <c r="U63" s="39">
        <f t="shared" si="11"/>
        <v>0</v>
      </c>
      <c r="V63" s="39">
        <f t="shared" si="11"/>
        <v>0</v>
      </c>
      <c r="W63" s="39">
        <f t="shared" si="11"/>
        <v>0</v>
      </c>
      <c r="X63" s="39">
        <f t="shared" si="11"/>
        <v>0</v>
      </c>
      <c r="Y63" s="39">
        <f t="shared" si="11"/>
        <v>0</v>
      </c>
      <c r="Z63" s="39">
        <f t="shared" si="11"/>
        <v>0</v>
      </c>
      <c r="AA63" s="453">
        <f t="shared" si="11"/>
        <v>0</v>
      </c>
    </row>
    <row r="64" spans="1:27" s="39" customFormat="1" x14ac:dyDescent="0.3">
      <c r="A64" s="451" t="s">
        <v>763</v>
      </c>
      <c r="B64" s="585"/>
      <c r="C64" s="585"/>
      <c r="D64" s="586"/>
      <c r="E64" s="586"/>
      <c r="F64" s="452">
        <f t="shared" si="9"/>
        <v>0</v>
      </c>
      <c r="G64" s="427">
        <f t="shared" si="10"/>
        <v>0</v>
      </c>
      <c r="H64" s="39">
        <f t="shared" si="10"/>
        <v>0</v>
      </c>
      <c r="I64" s="39">
        <f t="shared" si="10"/>
        <v>0</v>
      </c>
      <c r="J64" s="39">
        <f t="shared" si="10"/>
        <v>0</v>
      </c>
      <c r="K64" s="39">
        <f t="shared" si="10"/>
        <v>0</v>
      </c>
      <c r="L64" s="39">
        <f t="shared" si="10"/>
        <v>0</v>
      </c>
      <c r="M64" s="39">
        <f t="shared" si="10"/>
        <v>0</v>
      </c>
      <c r="N64" s="39">
        <f t="shared" si="10"/>
        <v>0</v>
      </c>
      <c r="O64" s="39">
        <f t="shared" si="10"/>
        <v>0</v>
      </c>
      <c r="P64" s="39">
        <f t="shared" si="10"/>
        <v>0</v>
      </c>
      <c r="Q64" s="551">
        <f t="shared" si="11"/>
        <v>0</v>
      </c>
      <c r="R64" s="39">
        <f t="shared" si="11"/>
        <v>0</v>
      </c>
      <c r="S64" s="39">
        <f t="shared" si="11"/>
        <v>0</v>
      </c>
      <c r="T64" s="39">
        <f t="shared" si="11"/>
        <v>0</v>
      </c>
      <c r="U64" s="39">
        <f t="shared" si="11"/>
        <v>0</v>
      </c>
      <c r="V64" s="39">
        <f t="shared" si="11"/>
        <v>0</v>
      </c>
      <c r="W64" s="39">
        <f t="shared" si="11"/>
        <v>0</v>
      </c>
      <c r="X64" s="39">
        <f t="shared" si="11"/>
        <v>0</v>
      </c>
      <c r="Y64" s="39">
        <f t="shared" si="11"/>
        <v>0</v>
      </c>
      <c r="Z64" s="39">
        <f t="shared" si="11"/>
        <v>0</v>
      </c>
      <c r="AA64" s="453">
        <f t="shared" si="11"/>
        <v>0</v>
      </c>
    </row>
    <row r="65" spans="1:27" s="39" customFormat="1" x14ac:dyDescent="0.3">
      <c r="A65" s="451" t="s">
        <v>763</v>
      </c>
      <c r="B65" s="585"/>
      <c r="C65" s="585"/>
      <c r="D65" s="586"/>
      <c r="E65" s="586"/>
      <c r="F65" s="452">
        <f t="shared" si="9"/>
        <v>0</v>
      </c>
      <c r="G65" s="427">
        <f t="shared" si="10"/>
        <v>0</v>
      </c>
      <c r="H65" s="39">
        <f t="shared" si="10"/>
        <v>0</v>
      </c>
      <c r="I65" s="39">
        <f t="shared" si="10"/>
        <v>0</v>
      </c>
      <c r="J65" s="39">
        <f t="shared" si="10"/>
        <v>0</v>
      </c>
      <c r="K65" s="39">
        <f t="shared" si="10"/>
        <v>0</v>
      </c>
      <c r="L65" s="39">
        <f t="shared" si="10"/>
        <v>0</v>
      </c>
      <c r="M65" s="39">
        <f t="shared" si="10"/>
        <v>0</v>
      </c>
      <c r="N65" s="39">
        <f t="shared" si="10"/>
        <v>0</v>
      </c>
      <c r="O65" s="39">
        <f t="shared" si="10"/>
        <v>0</v>
      </c>
      <c r="P65" s="39">
        <f t="shared" si="10"/>
        <v>0</v>
      </c>
      <c r="Q65" s="551">
        <f t="shared" si="11"/>
        <v>0</v>
      </c>
      <c r="R65" s="39">
        <f t="shared" si="11"/>
        <v>0</v>
      </c>
      <c r="S65" s="39">
        <f t="shared" si="11"/>
        <v>0</v>
      </c>
      <c r="T65" s="39">
        <f t="shared" si="11"/>
        <v>0</v>
      </c>
      <c r="U65" s="39">
        <f t="shared" si="11"/>
        <v>0</v>
      </c>
      <c r="V65" s="39">
        <f t="shared" si="11"/>
        <v>0</v>
      </c>
      <c r="W65" s="39">
        <f t="shared" si="11"/>
        <v>0</v>
      </c>
      <c r="X65" s="39">
        <f t="shared" si="11"/>
        <v>0</v>
      </c>
      <c r="Y65" s="39">
        <f t="shared" si="11"/>
        <v>0</v>
      </c>
      <c r="Z65" s="39">
        <f t="shared" si="11"/>
        <v>0</v>
      </c>
      <c r="AA65" s="453">
        <f t="shared" si="11"/>
        <v>0</v>
      </c>
    </row>
    <row r="66" spans="1:27" s="39" customFormat="1" x14ac:dyDescent="0.3">
      <c r="A66" s="451" t="s">
        <v>763</v>
      </c>
      <c r="B66" s="585"/>
      <c r="C66" s="585"/>
      <c r="D66" s="586"/>
      <c r="E66" s="586"/>
      <c r="F66" s="452">
        <f t="shared" si="9"/>
        <v>0</v>
      </c>
      <c r="G66" s="427">
        <f t="shared" si="10"/>
        <v>0</v>
      </c>
      <c r="H66" s="39">
        <f t="shared" si="10"/>
        <v>0</v>
      </c>
      <c r="I66" s="39">
        <f t="shared" si="10"/>
        <v>0</v>
      </c>
      <c r="J66" s="39">
        <f t="shared" si="10"/>
        <v>0</v>
      </c>
      <c r="K66" s="39">
        <f t="shared" si="10"/>
        <v>0</v>
      </c>
      <c r="L66" s="39">
        <f t="shared" si="10"/>
        <v>0</v>
      </c>
      <c r="M66" s="39">
        <f t="shared" si="10"/>
        <v>0</v>
      </c>
      <c r="N66" s="39">
        <f t="shared" si="10"/>
        <v>0</v>
      </c>
      <c r="O66" s="39">
        <f t="shared" si="10"/>
        <v>0</v>
      </c>
      <c r="P66" s="39">
        <f t="shared" si="10"/>
        <v>0</v>
      </c>
      <c r="Q66" s="551">
        <f t="shared" si="11"/>
        <v>0</v>
      </c>
      <c r="R66" s="39">
        <f t="shared" si="11"/>
        <v>0</v>
      </c>
      <c r="S66" s="39">
        <f t="shared" si="11"/>
        <v>0</v>
      </c>
      <c r="T66" s="39">
        <f t="shared" si="11"/>
        <v>0</v>
      </c>
      <c r="U66" s="39">
        <f t="shared" si="11"/>
        <v>0</v>
      </c>
      <c r="V66" s="39">
        <f t="shared" si="11"/>
        <v>0</v>
      </c>
      <c r="W66" s="39">
        <f t="shared" si="11"/>
        <v>0</v>
      </c>
      <c r="X66" s="39">
        <f t="shared" si="11"/>
        <v>0</v>
      </c>
      <c r="Y66" s="39">
        <f t="shared" si="11"/>
        <v>0</v>
      </c>
      <c r="Z66" s="39">
        <f t="shared" si="11"/>
        <v>0</v>
      </c>
      <c r="AA66" s="453">
        <f t="shared" si="11"/>
        <v>0</v>
      </c>
    </row>
    <row r="67" spans="1:27" s="39" customFormat="1" x14ac:dyDescent="0.3">
      <c r="A67" s="451" t="s">
        <v>763</v>
      </c>
      <c r="B67" s="585"/>
      <c r="C67" s="585"/>
      <c r="D67" s="586"/>
      <c r="E67" s="586"/>
      <c r="F67" s="452">
        <f t="shared" si="9"/>
        <v>0</v>
      </c>
      <c r="G67" s="427">
        <f t="shared" si="10"/>
        <v>0</v>
      </c>
      <c r="H67" s="39">
        <f t="shared" si="10"/>
        <v>0</v>
      </c>
      <c r="I67" s="39">
        <f t="shared" si="10"/>
        <v>0</v>
      </c>
      <c r="J67" s="39">
        <f t="shared" si="10"/>
        <v>0</v>
      </c>
      <c r="K67" s="39">
        <f t="shared" si="10"/>
        <v>0</v>
      </c>
      <c r="L67" s="39">
        <f t="shared" si="10"/>
        <v>0</v>
      </c>
      <c r="M67" s="39">
        <f t="shared" si="10"/>
        <v>0</v>
      </c>
      <c r="N67" s="39">
        <f t="shared" si="10"/>
        <v>0</v>
      </c>
      <c r="O67" s="39">
        <f t="shared" si="10"/>
        <v>0</v>
      </c>
      <c r="P67" s="39">
        <f t="shared" si="10"/>
        <v>0</v>
      </c>
      <c r="Q67" s="551">
        <f t="shared" si="11"/>
        <v>0</v>
      </c>
      <c r="R67" s="39">
        <f t="shared" si="11"/>
        <v>0</v>
      </c>
      <c r="S67" s="39">
        <f t="shared" si="11"/>
        <v>0</v>
      </c>
      <c r="T67" s="39">
        <f t="shared" si="11"/>
        <v>0</v>
      </c>
      <c r="U67" s="39">
        <f t="shared" si="11"/>
        <v>0</v>
      </c>
      <c r="V67" s="39">
        <f t="shared" si="11"/>
        <v>0</v>
      </c>
      <c r="W67" s="39">
        <f t="shared" si="11"/>
        <v>0</v>
      </c>
      <c r="X67" s="39">
        <f t="shared" si="11"/>
        <v>0</v>
      </c>
      <c r="Y67" s="39">
        <f t="shared" si="11"/>
        <v>0</v>
      </c>
      <c r="Z67" s="39">
        <f t="shared" si="11"/>
        <v>0</v>
      </c>
      <c r="AA67" s="453">
        <f t="shared" si="11"/>
        <v>0</v>
      </c>
    </row>
    <row r="68" spans="1:27" s="39" customFormat="1" x14ac:dyDescent="0.3">
      <c r="A68" s="451" t="s">
        <v>763</v>
      </c>
      <c r="B68" s="585"/>
      <c r="C68" s="585"/>
      <c r="D68" s="586"/>
      <c r="E68" s="586"/>
      <c r="F68" s="452">
        <f t="shared" si="9"/>
        <v>0</v>
      </c>
      <c r="G68" s="427">
        <f t="shared" si="10"/>
        <v>0</v>
      </c>
      <c r="H68" s="39">
        <f t="shared" si="10"/>
        <v>0</v>
      </c>
      <c r="I68" s="39">
        <f t="shared" si="10"/>
        <v>0</v>
      </c>
      <c r="J68" s="39">
        <f t="shared" si="10"/>
        <v>0</v>
      </c>
      <c r="K68" s="39">
        <f t="shared" si="10"/>
        <v>0</v>
      </c>
      <c r="L68" s="39">
        <f t="shared" si="10"/>
        <v>0</v>
      </c>
      <c r="M68" s="39">
        <f t="shared" si="10"/>
        <v>0</v>
      </c>
      <c r="N68" s="39">
        <f t="shared" si="10"/>
        <v>0</v>
      </c>
      <c r="O68" s="39">
        <f t="shared" si="10"/>
        <v>0</v>
      </c>
      <c r="P68" s="39">
        <f t="shared" si="10"/>
        <v>0</v>
      </c>
      <c r="Q68" s="551">
        <f t="shared" si="11"/>
        <v>0</v>
      </c>
      <c r="R68" s="39">
        <f t="shared" si="11"/>
        <v>0</v>
      </c>
      <c r="S68" s="39">
        <f t="shared" si="11"/>
        <v>0</v>
      </c>
      <c r="T68" s="39">
        <f t="shared" si="11"/>
        <v>0</v>
      </c>
      <c r="U68" s="39">
        <f t="shared" si="11"/>
        <v>0</v>
      </c>
      <c r="V68" s="39">
        <f t="shared" si="11"/>
        <v>0</v>
      </c>
      <c r="W68" s="39">
        <f t="shared" si="11"/>
        <v>0</v>
      </c>
      <c r="X68" s="39">
        <f t="shared" si="11"/>
        <v>0</v>
      </c>
      <c r="Y68" s="39">
        <f t="shared" si="11"/>
        <v>0</v>
      </c>
      <c r="Z68" s="39">
        <f t="shared" si="11"/>
        <v>0</v>
      </c>
      <c r="AA68" s="453">
        <f t="shared" si="11"/>
        <v>0</v>
      </c>
    </row>
    <row r="69" spans="1:27" s="39" customFormat="1" x14ac:dyDescent="0.3">
      <c r="A69" s="451" t="s">
        <v>763</v>
      </c>
      <c r="B69" s="587"/>
      <c r="C69" s="587"/>
      <c r="D69" s="586"/>
      <c r="E69" s="586"/>
      <c r="F69" s="452">
        <f t="shared" si="9"/>
        <v>0</v>
      </c>
      <c r="G69" s="427">
        <f t="shared" si="10"/>
        <v>0</v>
      </c>
      <c r="H69" s="39">
        <f t="shared" si="10"/>
        <v>0</v>
      </c>
      <c r="I69" s="39">
        <f t="shared" si="10"/>
        <v>0</v>
      </c>
      <c r="J69" s="39">
        <f t="shared" si="10"/>
        <v>0</v>
      </c>
      <c r="K69" s="39">
        <f t="shared" si="10"/>
        <v>0</v>
      </c>
      <c r="L69" s="39">
        <f t="shared" si="10"/>
        <v>0</v>
      </c>
      <c r="M69" s="39">
        <f t="shared" si="10"/>
        <v>0</v>
      </c>
      <c r="N69" s="39">
        <f t="shared" si="10"/>
        <v>0</v>
      </c>
      <c r="O69" s="39">
        <f t="shared" si="10"/>
        <v>0</v>
      </c>
      <c r="P69" s="39">
        <f t="shared" si="10"/>
        <v>0</v>
      </c>
      <c r="Q69" s="551">
        <f t="shared" si="11"/>
        <v>0</v>
      </c>
      <c r="R69" s="39">
        <f t="shared" si="11"/>
        <v>0</v>
      </c>
      <c r="S69" s="39">
        <f t="shared" si="11"/>
        <v>0</v>
      </c>
      <c r="T69" s="39">
        <f t="shared" si="11"/>
        <v>0</v>
      </c>
      <c r="U69" s="39">
        <f t="shared" si="11"/>
        <v>0</v>
      </c>
      <c r="V69" s="39">
        <f t="shared" si="11"/>
        <v>0</v>
      </c>
      <c r="W69" s="39">
        <f t="shared" si="11"/>
        <v>0</v>
      </c>
      <c r="X69" s="39">
        <f t="shared" si="11"/>
        <v>0</v>
      </c>
      <c r="Y69" s="39">
        <f t="shared" si="11"/>
        <v>0</v>
      </c>
      <c r="Z69" s="39">
        <f t="shared" si="11"/>
        <v>0</v>
      </c>
      <c r="AA69" s="453">
        <f t="shared" si="11"/>
        <v>0</v>
      </c>
    </row>
    <row r="70" spans="1:27" s="39" customFormat="1" x14ac:dyDescent="0.3">
      <c r="A70" s="454"/>
      <c r="B70" s="455"/>
      <c r="C70" s="455"/>
      <c r="F70" s="427"/>
      <c r="G70" s="427"/>
      <c r="AA70" s="453"/>
    </row>
    <row r="71" spans="1:27" s="39" customFormat="1" ht="13.5" thickBot="1" x14ac:dyDescent="0.35">
      <c r="A71" s="454" t="s">
        <v>58</v>
      </c>
      <c r="B71" s="455"/>
      <c r="C71" s="455"/>
      <c r="D71" s="456">
        <f>SUM(D61:D69)</f>
        <v>0</v>
      </c>
      <c r="F71" s="457">
        <f t="shared" ref="F71:P71" si="12">SUM(F61:F67)</f>
        <v>0</v>
      </c>
      <c r="G71" s="457">
        <f t="shared" si="12"/>
        <v>0</v>
      </c>
      <c r="H71" s="456">
        <f t="shared" si="12"/>
        <v>0</v>
      </c>
      <c r="I71" s="456">
        <f t="shared" si="12"/>
        <v>0</v>
      </c>
      <c r="J71" s="456">
        <f t="shared" si="12"/>
        <v>0</v>
      </c>
      <c r="K71" s="456">
        <f t="shared" si="12"/>
        <v>0</v>
      </c>
      <c r="L71" s="456">
        <f t="shared" si="12"/>
        <v>0</v>
      </c>
      <c r="M71" s="456">
        <f t="shared" si="12"/>
        <v>0</v>
      </c>
      <c r="N71" s="456">
        <f t="shared" si="12"/>
        <v>0</v>
      </c>
      <c r="O71" s="456">
        <f t="shared" si="12"/>
        <v>0</v>
      </c>
      <c r="P71" s="456">
        <f t="shared" si="12"/>
        <v>0</v>
      </c>
      <c r="Q71" s="456">
        <f t="shared" ref="Q71:AA71" si="13">SUM(Q61:Q69)</f>
        <v>0</v>
      </c>
      <c r="R71" s="456">
        <f t="shared" si="13"/>
        <v>0</v>
      </c>
      <c r="S71" s="456">
        <f t="shared" si="13"/>
        <v>0</v>
      </c>
      <c r="T71" s="456">
        <f t="shared" si="13"/>
        <v>0</v>
      </c>
      <c r="U71" s="456">
        <f t="shared" si="13"/>
        <v>0</v>
      </c>
      <c r="V71" s="456">
        <f t="shared" si="13"/>
        <v>0</v>
      </c>
      <c r="W71" s="456">
        <f t="shared" si="13"/>
        <v>0</v>
      </c>
      <c r="X71" s="456">
        <f t="shared" si="13"/>
        <v>0</v>
      </c>
      <c r="Y71" s="456">
        <f t="shared" si="13"/>
        <v>0</v>
      </c>
      <c r="Z71" s="456">
        <f t="shared" si="13"/>
        <v>0</v>
      </c>
      <c r="AA71" s="458">
        <f t="shared" si="13"/>
        <v>0</v>
      </c>
    </row>
    <row r="72" spans="1:27" s="39" customFormat="1" ht="14" thickTop="1" thickBot="1" x14ac:dyDescent="0.35">
      <c r="A72" s="459"/>
      <c r="B72" s="460"/>
      <c r="C72" s="460"/>
      <c r="D72" s="42"/>
      <c r="E72" s="42"/>
      <c r="F72" s="429"/>
      <c r="G72" s="429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61"/>
    </row>
    <row r="73" spans="1:27" s="39" customFormat="1" x14ac:dyDescent="0.3">
      <c r="B73" s="455"/>
      <c r="C73" s="455"/>
    </row>
    <row r="74" spans="1:27" s="39" customFormat="1" x14ac:dyDescent="0.3">
      <c r="A74" s="370" t="s">
        <v>764</v>
      </c>
      <c r="B74" s="455"/>
      <c r="C74" s="455"/>
      <c r="D74" s="260">
        <f>P71</f>
        <v>0</v>
      </c>
    </row>
    <row r="75" spans="1:27" s="39" customFormat="1" x14ac:dyDescent="0.3">
      <c r="A75" s="370" t="str">
        <f>"20"&amp;RIGHT(A55,2)&amp;" Additions"</f>
        <v>2024 Additions</v>
      </c>
      <c r="B75" s="455"/>
      <c r="C75" s="455"/>
      <c r="D75" s="39">
        <f>SUMIF($B$61:$B$69,"20"&amp;RIGHT(A55,2),$D$61:$D$69)</f>
        <v>0</v>
      </c>
    </row>
    <row r="76" spans="1:27" s="39" customFormat="1" ht="13.5" thickBot="1" x14ac:dyDescent="0.35">
      <c r="A76" s="370" t="str">
        <f>"20"&amp;RIGHT(A55,2)&amp;" Tax Depreciation"</f>
        <v>2024 Tax Depreciation</v>
      </c>
      <c r="B76" s="455"/>
      <c r="C76" s="455"/>
      <c r="D76" s="462">
        <f>D74+D75-Q71</f>
        <v>0</v>
      </c>
    </row>
    <row r="77" spans="1:27" s="39" customFormat="1" ht="13.5" thickTop="1" x14ac:dyDescent="0.3">
      <c r="B77" s="455"/>
      <c r="C77" s="455"/>
    </row>
    <row r="78" spans="1:27" s="39" customFormat="1" x14ac:dyDescent="0.3"/>
    <row r="79" spans="1:27" s="39" customFormat="1" x14ac:dyDescent="0.3">
      <c r="A79" s="370" t="s">
        <v>768</v>
      </c>
    </row>
    <row r="80" spans="1:27" s="39" customFormat="1" x14ac:dyDescent="0.3"/>
    <row r="81" s="39" customFormat="1" x14ac:dyDescent="0.3"/>
  </sheetData>
  <mergeCells count="14">
    <mergeCell ref="A55:L55"/>
    <mergeCell ref="A56:L56"/>
    <mergeCell ref="G29:AA29"/>
    <mergeCell ref="G59:AA59"/>
    <mergeCell ref="A24:L24"/>
    <mergeCell ref="A25:L25"/>
    <mergeCell ref="A26:L26"/>
    <mergeCell ref="A53:L53"/>
    <mergeCell ref="A54:L54"/>
    <mergeCell ref="A1:K1"/>
    <mergeCell ref="A2:K2"/>
    <mergeCell ref="A3:K3"/>
    <mergeCell ref="A4:K4"/>
    <mergeCell ref="A23:L23"/>
  </mergeCells>
  <pageMargins left="0" right="0" top="0.25" bottom="0" header="0.5" footer="0"/>
  <pageSetup paperSize="9" scale="92" orientation="portrait" r:id="rId1"/>
  <headerFooter alignWithMargins="0">
    <oddFooter>&amp;C&amp;8&amp;F/&amp;A
&amp;D
&amp;T&amp;R&amp;"Arial,Bold"&amp;8Preparer:.....................
Date:.....................
Reviewer:....................
Date:....................
2nd Reviewe:.....................
 Date:.....................&amp;"Arial,Regular"&amp;7
&amp;"Arial,Bold"&amp;10D-430</oddFooter>
  </headerFooter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CFAC4-7742-4EC1-A879-3B191E3F48CB}">
  <sheetPr published="0">
    <tabColor theme="3"/>
  </sheetPr>
  <dimension ref="A1:J48"/>
  <sheetViews>
    <sheetView workbookViewId="0">
      <selection activeCell="B8" sqref="B8"/>
    </sheetView>
  </sheetViews>
  <sheetFormatPr defaultRowHeight="12.5" x14ac:dyDescent="0.25"/>
  <cols>
    <col min="2" max="2" width="52.08984375" bestFit="1" customWidth="1"/>
    <col min="3" max="3" width="24.36328125" bestFit="1" customWidth="1"/>
    <col min="5" max="5" width="10.453125" bestFit="1" customWidth="1"/>
  </cols>
  <sheetData>
    <row r="1" spans="2:8" x14ac:dyDescent="0.25">
      <c r="B1" s="745" t="s">
        <v>810</v>
      </c>
      <c r="C1" t="s">
        <v>800</v>
      </c>
    </row>
    <row r="2" spans="2:8" x14ac:dyDescent="0.25">
      <c r="B2" t="s">
        <v>811</v>
      </c>
      <c r="C2" t="s">
        <v>812</v>
      </c>
    </row>
    <row r="3" spans="2:8" x14ac:dyDescent="0.25">
      <c r="B3" t="s">
        <v>813</v>
      </c>
    </row>
    <row r="4" spans="2:8" ht="13" x14ac:dyDescent="0.3">
      <c r="C4" s="744" t="s">
        <v>794</v>
      </c>
      <c r="D4" t="s">
        <v>795</v>
      </c>
      <c r="E4" t="s">
        <v>796</v>
      </c>
      <c r="F4" t="s">
        <v>797</v>
      </c>
      <c r="G4" t="s">
        <v>798</v>
      </c>
      <c r="H4" t="s">
        <v>799</v>
      </c>
    </row>
    <row r="5" spans="2:8" x14ac:dyDescent="0.25">
      <c r="B5" t="s">
        <v>801</v>
      </c>
    </row>
    <row r="6" spans="2:8" x14ac:dyDescent="0.25">
      <c r="B6" t="s">
        <v>802</v>
      </c>
    </row>
    <row r="7" spans="2:8" x14ac:dyDescent="0.25">
      <c r="B7" t="s">
        <v>803</v>
      </c>
    </row>
    <row r="8" spans="2:8" x14ac:dyDescent="0.25">
      <c r="B8" s="18" t="s">
        <v>807</v>
      </c>
      <c r="C8" s="18"/>
    </row>
    <row r="9" spans="2:8" x14ac:dyDescent="0.25">
      <c r="B9" s="21" t="s">
        <v>814</v>
      </c>
      <c r="C9" s="18"/>
    </row>
    <row r="10" spans="2:8" x14ac:dyDescent="0.25">
      <c r="B10" t="s">
        <v>804</v>
      </c>
    </row>
    <row r="11" spans="2:8" x14ac:dyDescent="0.25">
      <c r="B11" t="s">
        <v>805</v>
      </c>
    </row>
    <row r="13" spans="2:8" x14ac:dyDescent="0.25">
      <c r="B13" t="s">
        <v>806</v>
      </c>
    </row>
    <row r="20" spans="1:10" ht="38.5" customHeight="1" x14ac:dyDescent="0.25">
      <c r="C20" s="746" t="s">
        <v>808</v>
      </c>
      <c r="D20" s="746"/>
    </row>
    <row r="23" spans="1:10" ht="13" thickBot="1" x14ac:dyDescent="0.3"/>
    <row r="24" spans="1:10" ht="13.5" thickBot="1" x14ac:dyDescent="0.35">
      <c r="A24" s="659" t="s">
        <v>456</v>
      </c>
      <c r="B24" s="660"/>
      <c r="C24" s="744" t="s">
        <v>794</v>
      </c>
      <c r="D24" t="s">
        <v>795</v>
      </c>
      <c r="E24" t="s">
        <v>796</v>
      </c>
      <c r="F24" t="s">
        <v>797</v>
      </c>
      <c r="G24" t="s">
        <v>798</v>
      </c>
      <c r="H24" t="s">
        <v>799</v>
      </c>
      <c r="I24" s="18" t="s">
        <v>58</v>
      </c>
    </row>
    <row r="25" spans="1:10" ht="13" x14ac:dyDescent="0.3">
      <c r="A25" s="365"/>
      <c r="B25" s="166"/>
      <c r="C25" s="386" t="s">
        <v>809</v>
      </c>
    </row>
    <row r="26" spans="1:10" ht="13" x14ac:dyDescent="0.3">
      <c r="A26" s="373" t="s">
        <v>50</v>
      </c>
      <c r="B26" s="68" t="s">
        <v>457</v>
      </c>
      <c r="C26" s="381"/>
      <c r="I26">
        <f>SUM(H26)</f>
        <v>0</v>
      </c>
      <c r="J26" s="15"/>
    </row>
    <row r="27" spans="1:10" ht="13" x14ac:dyDescent="0.3">
      <c r="A27" s="373" t="s">
        <v>51</v>
      </c>
      <c r="B27" s="39" t="s">
        <v>458</v>
      </c>
      <c r="C27" s="381"/>
      <c r="I27">
        <f t="shared" ref="I27:I45" si="0">SUM(H27)</f>
        <v>0</v>
      </c>
    </row>
    <row r="28" spans="1:10" ht="13" x14ac:dyDescent="0.3">
      <c r="A28" s="373" t="s">
        <v>152</v>
      </c>
      <c r="B28" s="39" t="s">
        <v>459</v>
      </c>
      <c r="C28" s="382"/>
      <c r="I28">
        <f t="shared" si="0"/>
        <v>0</v>
      </c>
    </row>
    <row r="29" spans="1:10" ht="13" x14ac:dyDescent="0.3">
      <c r="A29" s="373" t="s">
        <v>89</v>
      </c>
      <c r="B29" s="39" t="s">
        <v>460</v>
      </c>
      <c r="C29" s="382"/>
      <c r="I29">
        <f t="shared" si="0"/>
        <v>0</v>
      </c>
    </row>
    <row r="30" spans="1:10" ht="13" x14ac:dyDescent="0.3">
      <c r="A30" s="373" t="s">
        <v>133</v>
      </c>
      <c r="B30" s="205" t="s">
        <v>461</v>
      </c>
      <c r="C30" s="382"/>
      <c r="I30">
        <f t="shared" si="0"/>
        <v>0</v>
      </c>
    </row>
    <row r="31" spans="1:10" ht="13" x14ac:dyDescent="0.3">
      <c r="A31" s="373" t="s">
        <v>170</v>
      </c>
      <c r="B31" s="39" t="s">
        <v>462</v>
      </c>
      <c r="C31" s="381"/>
      <c r="I31">
        <f t="shared" si="0"/>
        <v>0</v>
      </c>
    </row>
    <row r="32" spans="1:10" ht="13" x14ac:dyDescent="0.3">
      <c r="A32" s="373" t="s">
        <v>190</v>
      </c>
      <c r="B32" s="39" t="s">
        <v>463</v>
      </c>
      <c r="C32" s="381"/>
      <c r="I32">
        <f t="shared" si="0"/>
        <v>0</v>
      </c>
    </row>
    <row r="33" spans="1:10" ht="13" x14ac:dyDescent="0.3">
      <c r="A33" s="373" t="s">
        <v>52</v>
      </c>
      <c r="B33" s="39" t="s">
        <v>464</v>
      </c>
      <c r="C33" s="381"/>
      <c r="I33">
        <f t="shared" si="0"/>
        <v>0</v>
      </c>
    </row>
    <row r="34" spans="1:10" ht="13" x14ac:dyDescent="0.3">
      <c r="A34" s="373" t="s">
        <v>53</v>
      </c>
      <c r="B34" s="39" t="s">
        <v>466</v>
      </c>
      <c r="C34" s="383"/>
      <c r="I34">
        <f t="shared" si="0"/>
        <v>0</v>
      </c>
    </row>
    <row r="35" spans="1:10" ht="13" x14ac:dyDescent="0.3">
      <c r="A35" s="373" t="s">
        <v>54</v>
      </c>
      <c r="B35" s="39" t="s">
        <v>468</v>
      </c>
      <c r="C35" s="473" t="e">
        <f>ROUND(F38/H38,0)</f>
        <v>#DIV/0!</v>
      </c>
      <c r="I35">
        <f t="shared" si="0"/>
        <v>0</v>
      </c>
    </row>
    <row r="36" spans="1:10" ht="13" x14ac:dyDescent="0.3">
      <c r="A36" s="373" t="s">
        <v>55</v>
      </c>
      <c r="B36" s="39" t="s">
        <v>469</v>
      </c>
      <c r="C36" s="473" t="e">
        <f>ROUND(F39/H39,0)</f>
        <v>#DIV/0!</v>
      </c>
      <c r="I36">
        <f t="shared" si="0"/>
        <v>0</v>
      </c>
    </row>
    <row r="37" spans="1:10" ht="13" x14ac:dyDescent="0.3">
      <c r="A37" s="373" t="s">
        <v>56</v>
      </c>
      <c r="B37" s="39" t="s">
        <v>470</v>
      </c>
      <c r="C37" s="473" t="e">
        <f>ROUND(F40/H40,0)</f>
        <v>#DIV/0!</v>
      </c>
      <c r="I37">
        <f t="shared" si="0"/>
        <v>0</v>
      </c>
    </row>
    <row r="38" spans="1:10" ht="13" x14ac:dyDescent="0.3">
      <c r="A38" s="373" t="s">
        <v>57</v>
      </c>
      <c r="B38" s="39" t="s">
        <v>471</v>
      </c>
      <c r="C38" s="473" t="e">
        <f>ROUND(F41/H41,0)</f>
        <v>#DIV/0!</v>
      </c>
      <c r="I38">
        <f t="shared" si="0"/>
        <v>0</v>
      </c>
    </row>
    <row r="39" spans="1:10" ht="13" x14ac:dyDescent="0.3">
      <c r="A39" s="373" t="s">
        <v>157</v>
      </c>
      <c r="B39" s="39" t="s">
        <v>472</v>
      </c>
      <c r="C39" s="474"/>
      <c r="I39">
        <f t="shared" si="0"/>
        <v>0</v>
      </c>
    </row>
    <row r="40" spans="1:10" ht="13" x14ac:dyDescent="0.3">
      <c r="A40" s="373" t="s">
        <v>89</v>
      </c>
      <c r="B40" s="39" t="s">
        <v>473</v>
      </c>
      <c r="C40" s="474"/>
      <c r="I40">
        <f t="shared" si="0"/>
        <v>0</v>
      </c>
    </row>
    <row r="41" spans="1:10" ht="13" x14ac:dyDescent="0.3">
      <c r="A41" s="373" t="s">
        <v>133</v>
      </c>
      <c r="B41" s="39" t="s">
        <v>474</v>
      </c>
      <c r="C41" s="473" t="e">
        <f>ROUND(F44/H44,0)</f>
        <v>#DIV/0!</v>
      </c>
      <c r="I41">
        <f t="shared" si="0"/>
        <v>0</v>
      </c>
    </row>
    <row r="42" spans="1:10" ht="13" x14ac:dyDescent="0.3">
      <c r="A42" s="373" t="s">
        <v>170</v>
      </c>
      <c r="B42" s="39" t="s">
        <v>475</v>
      </c>
      <c r="C42" s="475"/>
      <c r="I42">
        <f t="shared" si="0"/>
        <v>0</v>
      </c>
    </row>
    <row r="43" spans="1:10" ht="13" x14ac:dyDescent="0.3">
      <c r="A43" s="373" t="s">
        <v>270</v>
      </c>
      <c r="B43" s="39" t="s">
        <v>476</v>
      </c>
      <c r="C43" s="475"/>
      <c r="I43">
        <f t="shared" si="0"/>
        <v>0</v>
      </c>
    </row>
    <row r="44" spans="1:10" ht="13.5" thickBot="1" x14ac:dyDescent="0.35">
      <c r="A44" s="373" t="s">
        <v>89</v>
      </c>
      <c r="B44" s="39" t="s">
        <v>477</v>
      </c>
      <c r="C44" s="491" t="e">
        <f>ROUND(F47/H47,0)</f>
        <v>#DIV/0!</v>
      </c>
      <c r="I44">
        <f t="shared" si="0"/>
        <v>0</v>
      </c>
    </row>
    <row r="45" spans="1:10" ht="13.5" thickBot="1" x14ac:dyDescent="0.35">
      <c r="A45" s="471" t="s">
        <v>133</v>
      </c>
      <c r="B45" s="42" t="s">
        <v>478</v>
      </c>
      <c r="C45" s="379"/>
      <c r="I45">
        <f t="shared" si="0"/>
        <v>0</v>
      </c>
    </row>
    <row r="48" spans="1:10" x14ac:dyDescent="0.25">
      <c r="C48" s="15"/>
      <c r="D48" s="15"/>
      <c r="J48" s="15"/>
    </row>
  </sheetData>
  <mergeCells count="1">
    <mergeCell ref="C20:D20"/>
  </mergeCells>
  <pageMargins left="0.7" right="0.7" top="0.75" bottom="0.75" header="0.3" footer="0.3"/>
  <pageSetup orientation="portrait" horizontalDpi="1200" verticalDpi="1200" r:id="rId1"/>
  <drawing r:id="rId2"/>
</worksheet>
</file>

<file path=xl/worksheets/sheetRE.xml><?xml version="1.0" encoding="utf-8"?>
<worksheet xmlns="http://schemas.openxmlformats.org/spreadsheetml/2006/main">
  <sheetViews>
    <sheetView workbookViewId="0" showGridLines="0"/>
  </sheetViews>
  <cols>
    <col min="1" max="1" width="62" customWidth="1"/>
    <col min="3" max="3" width="12" customWidth="1"/>
    <col min="5" max="5" width="16" customWidth="1"/>
    <col min="6" max="6" width="16" customWidth="1"/>
    <col min="8" max="8" width="16" customWidth="1"/>
    <col min="10" max="10" width="12" customWidth="1"/>
  </cols>
  <sheetData>
    <row r="1">
      <c r="A1">
        <f>'Basic Information'!B4</f>
      </c>
    </row>
    <row r="2">
      <c r="A2" t="inlineStr">
        <is>
          <t>RETAINED EARNINGS RECONCILIATION</t>
        </is>
      </c>
    </row>
    <row r="3">
      <c r="A3">
        <f>'Basic Information'!B1</f>
      </c>
    </row>
    <row r="4">
      <c r="A4" t="inlineStr">
        <is>
          <t>(Amounts in Local Currency and US Dollars)</t>
        </is>
      </c>
    </row>
    <row r="5">
      <c r="F5" t="inlineStr">
        <is>
          <t>Rate @ PY End</t>
        </is>
      </c>
      <c r="H5" t="inlineStr">
        <is>
          <t>Rate @ CY End</t>
        </is>
      </c>
      <c r="J5" t="inlineStr">
        <is>
          <t>Average rate</t>
        </is>
      </c>
    </row>
    <row r="6">
      <c r="F6">
        <f>'Basic Information'!C61</f>
      </c>
      <c r="H6">
        <f>'Basic Information'!C60</f>
      </c>
      <c r="J6">
        <f>'Basic Information'!C59</f>
      </c>
    </row>
    <row r="8">
      <c r="E8" t="inlineStr">
        <is>
          <t>REF</t>
        </is>
      </c>
      <c r="F8" t="inlineStr">
        <is>
          <t>FC</t>
        </is>
      </c>
      <c r="G8" t="inlineStr">
        <is>
          <t>REF</t>
        </is>
      </c>
      <c r="H8" t="inlineStr">
        <is>
          <t>USD</t>
        </is>
      </c>
    </row>
    <row r="10">
      <c r="A10" t="inlineStr">
        <is>
          <t>BOY Retained Earnings (prior-year Form 5471, Schedule F line 22)</t>
        </is>
      </c>
      <c r="C10">
        <f>'Basic Information'!B2</f>
      </c>
      <c r="E10" t="inlineStr">
        <is>
          <t>Prior 5471</t>
        </is>
      </c>
      <c r="F10">
        <f>'Balance Sheet'!D61</f>
      </c>
      <c r="H10">
        <f>IF(F10="","",ROUND(F10/$F$6,0))</f>
      </c>
    </row>
    <row r="13">
      <c r="A13" t="inlineStr">
        <is>
          <t>Net Income (Loss) per books</t>
        </is>
      </c>
      <c r="E13" t="inlineStr">
        <is>
          <t>Income Statement</t>
        </is>
      </c>
      <c r="F13">
        <f>'Income Statement'!F64</f>
      </c>
      <c r="H13">
        <f>ROUND(F13/$J$6,0)</f>
      </c>
    </row>
    <row r="15">
      <c r="A15" t="inlineStr">
        <is>
          <t>Other Increases</t>
        </is>
      </c>
    </row>
    <row r="16">
      <c r="A16" t="inlineStr">
        <is>
          <t>Other increase 1</t>
        </is>
      </c>
      <c r="H16">
        <f>IF(F16="","",ROUND(F16/$H$6,0))</f>
      </c>
    </row>
    <row r="17">
      <c r="A17" t="inlineStr">
        <is>
          <t>Other increase 2</t>
        </is>
      </c>
      <c r="H17">
        <f>IF(F17="","",ROUND(F17/$H$6,0))</f>
      </c>
    </row>
    <row r="19">
      <c r="A19" t="inlineStr">
        <is>
          <t>Distributions</t>
        </is>
      </c>
    </row>
    <row r="20">
      <c r="A20" t="inlineStr">
        <is>
          <t>Cash</t>
        </is>
      </c>
      <c r="E20" t="inlineStr">
        <is>
          <t>Dividends</t>
        </is>
      </c>
      <c r="F20">
        <f>Dividends!C12</f>
      </c>
      <c r="H20">
        <f>Dividends!E12</f>
      </c>
    </row>
    <row r="21">
      <c r="A21" t="inlineStr">
        <is>
          <t>Property</t>
        </is>
      </c>
      <c r="H21">
        <f>IF(F21="","",ROUND(F21/$H$6,0))</f>
      </c>
    </row>
    <row r="23">
      <c r="A23" t="inlineStr">
        <is>
          <t>Other Decreases / Adjustments</t>
        </is>
      </c>
    </row>
    <row r="24">
      <c r="A24" t="inlineStr">
        <is>
          <t>Currency translation adjustment (computed: opening balance, income and closing balance translate at three different rates)</t>
        </is>
      </c>
      <c r="H24">
        <f>IF(OR(H28="",H10=""),"",H28-(H10+H13+N(H16)+N(H17)-N(H20)-N(H21)+N(H25)))</f>
      </c>
    </row>
    <row r="25">
      <c r="A25" t="inlineStr">
        <is>
          <t>Other decrease 2</t>
        </is>
      </c>
      <c r="H25">
        <f>IF(F25="","",ROUND(F25/$H$6,0))</f>
      </c>
    </row>
    <row r="27">
      <c r="A27" t="inlineStr">
        <is>
          <t>EOY Retained Earnings (computed)</t>
        </is>
      </c>
      <c r="C27">
        <f>'Basic Information'!B1</f>
      </c>
      <c r="F27">
        <f>F10+F13+F16+F17-F20-F21+F24+F25</f>
      </c>
      <c r="H27">
        <f>IF(H10="","",H10+H13+N(H16)+N(H17)-N(H20)-N(H21)+N(H25)+N(H24))</f>
      </c>
    </row>
    <row r="28">
      <c r="A28" t="inlineStr">
        <is>
          <t>EOY Retained Earnings per Schedule F line 22</t>
        </is>
      </c>
      <c r="F28">
        <f>'Balance Sheet'!F61</f>
      </c>
      <c r="H28">
        <f>'Balance Sheet'!H61</f>
      </c>
    </row>
    <row r="29">
      <c r="A29" t="inlineStr">
        <is>
          <t>Difference — must be nil before filing</t>
        </is>
      </c>
      <c r="F29">
        <f>ROUND(F27-F28,2)</f>
      </c>
      <c r="H29">
        <f>IF(OR(H27="",H28=""),"",ROUND(H27-H28,0))</f>
      </c>
    </row>
    <row r="31">
      <c r="A31" t="inlineStr">
        <is>
          <t>* Enter increases as positive and decreases as negative in column F. Column H translates at the rates on Basic Information: opening at the prior year-end rate, net income at the average rate, everything else at the current year-end rate.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10</vt:i4>
      </vt:variant>
    </vt:vector>
  </HeadingPairs>
  <TitlesOfParts>
    <vt:vector size="29" baseType="lpstr">
      <vt:lpstr>Basic Information</vt:lpstr>
      <vt:lpstr>Shareholding Details</vt:lpstr>
      <vt:lpstr>Income Statement</vt:lpstr>
      <vt:lpstr>D-110 Flow-through K-1s</vt:lpstr>
      <vt:lpstr>Balance Sheet</vt:lpstr>
      <vt:lpstr>Dividends</vt:lpstr>
      <vt:lpstr>Schedule E &amp; E-1</vt:lpstr>
      <vt:lpstr>Sch - H</vt:lpstr>
      <vt:lpstr>Schedule I &amp; I-1</vt:lpstr>
      <vt:lpstr>Schedule J</vt:lpstr>
      <vt:lpstr>Schedule M</vt:lpstr>
      <vt:lpstr>Schedule P</vt:lpstr>
      <vt:lpstr>Schedule Q</vt:lpstr>
      <vt:lpstr>Schedule R</vt:lpstr>
      <vt:lpstr>Worksheet A</vt:lpstr>
      <vt:lpstr>Worksheet B</vt:lpstr>
      <vt:lpstr>8992 Information</vt:lpstr>
      <vt:lpstr>Depr &amp; Amort Summary</vt:lpstr>
      <vt:lpstr>Entity Structure and changes</vt:lpstr>
      <vt:lpstr>'Worksheet A'!b_3_A</vt:lpstr>
      <vt:lpstr>'Worksheet B'!b_3_A</vt:lpstr>
      <vt:lpstr>'Worksheet A'!b_3_A_i</vt:lpstr>
      <vt:lpstr>'Worksheet B'!b_3_A_i</vt:lpstr>
      <vt:lpstr>'Worksheet A'!b_3_A_ii</vt:lpstr>
      <vt:lpstr>'Worksheet B'!b_3_A_ii</vt:lpstr>
      <vt:lpstr>'Balance Sheet'!Print_Area</vt:lpstr>
      <vt:lpstr>'Basic Information'!Print_Area</vt:lpstr>
      <vt:lpstr>'Depr &amp; Amort Summary'!Print_Area</vt:lpstr>
      <vt:lpstr>'Sch - H'!Print_Area</vt:lpstr>
    </vt:vector>
  </TitlesOfParts>
  <Manager/>
  <Company>Andersen Worldwide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Arthur Andersen</dc:creator>
  <cp:keywords/>
  <dc:description/>
  <cp:lastModifiedBy>Pragya Daga</cp:lastModifiedBy>
  <cp:revision/>
  <dcterms:created xsi:type="dcterms:W3CDTF">2001-01-09T09:26:13Z</dcterms:created>
  <dcterms:modified xsi:type="dcterms:W3CDTF">2026-08-04T07:57:45Z</dcterms:modified>
  <cp:category/>
  <cp:contentStatus/>
</cp:coreProperties>
</file>